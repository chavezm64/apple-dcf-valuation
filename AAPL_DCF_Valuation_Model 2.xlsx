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Executive Summary" sheetId="1" state="visible" r:id="rId3"/>
    <sheet name="2. Historical Financials" sheetId="2" state="visible" r:id="rId4"/>
    <sheet name="3. Assumptions" sheetId="3" state="visible" r:id="rId5"/>
    <sheet name="4. Income Statement" sheetId="4" state="visible" r:id="rId6"/>
    <sheet name="5. Free Cash Flow" sheetId="5" state="visible" r:id="rId7"/>
    <sheet name="6. WACC" sheetId="6" state="visible" r:id="rId8"/>
    <sheet name="7. Valuation Summary" sheetId="7" state="visible" r:id="rId9"/>
    <sheet name="8. Sensitivity" sheetId="8" state="visible" r:id="rId10"/>
    <sheet name="9. Comparabl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<sst xmlns="http://schemas.openxmlformats.org/spreadsheetml/2006/main" count="338" uniqueCount="254">
  <si>
    <t xml:space="preserve">DCF Valuation Model</t>
  </si>
  <si>
    <t xml:space="preserve">Apple Inc. (NASDAQ: AAPL) — As of October 2026</t>
  </si>
  <si>
    <t xml:space="preserve">Case study for educational use. Not investment advice or a recommendation to buy, sell, or hold any security. Projections are illustrative.</t>
  </si>
  <si>
    <t xml:space="preserve">COMPANY OVERVIEW</t>
  </si>
  <si>
    <t xml:space="preserve">Company</t>
  </si>
  <si>
    <t xml:space="preserve">Apple Inc.</t>
  </si>
  <si>
    <t xml:space="preserve">Ticker</t>
  </si>
  <si>
    <t xml:space="preserve">NASDAQ: AAPL</t>
  </si>
  <si>
    <t xml:space="preserve">Sector</t>
  </si>
  <si>
    <t xml:space="preserve">Information Technology</t>
  </si>
  <si>
    <t xml:space="preserve">Industry</t>
  </si>
  <si>
    <t xml:space="preserve">Consumer Electronics / Technology</t>
  </si>
  <si>
    <t xml:space="preserve">Fiscal Year End</t>
  </si>
  <si>
    <t xml:space="preserve">September (FY2025 ended Sep 27, 2025)</t>
  </si>
  <si>
    <t xml:space="preserve">Current Price</t>
  </si>
  <si>
    <t xml:space="preserve">$330.00</t>
  </si>
  <si>
    <t xml:space="preserve">Market Capitalization</t>
  </si>
  <si>
    <t xml:space="preserve">$4,874B</t>
  </si>
  <si>
    <t xml:space="preserve">Shares Outstanding</t>
  </si>
  <si>
    <t xml:space="preserve">14,770M</t>
  </si>
  <si>
    <t xml:space="preserve">Dividend Yield</t>
  </si>
  <si>
    <t xml:space="preserve">~0.5%</t>
  </si>
  <si>
    <t xml:space="preserve">VALUATION SUMMARY</t>
  </si>
  <si>
    <t xml:space="preserve">Enterprise Value</t>
  </si>
  <si>
    <t xml:space="preserve">Equity Value</t>
  </si>
  <si>
    <t xml:space="preserve">Implied Share Price</t>
  </si>
  <si>
    <t xml:space="preserve">Current Share Price</t>
  </si>
  <si>
    <t xml:space="preserve">Upside/(Downside)</t>
  </si>
  <si>
    <t xml:space="preserve">Recommendation</t>
  </si>
  <si>
    <t xml:space="preserve">KEY ASSUMPTIONS</t>
  </si>
  <si>
    <t xml:space="preserve">Assumption</t>
  </si>
  <si>
    <t xml:space="preserve">Value</t>
  </si>
  <si>
    <t xml:space="preserve">Source/Rationale</t>
  </si>
  <si>
    <t xml:space="preserve">Notes</t>
  </si>
  <si>
    <t xml:space="preserve">Revenue growth (avg 5yr)</t>
  </si>
  <si>
    <t xml:space="preserve">Blended growth rate</t>
  </si>
  <si>
    <t xml:space="preserve">Gradual deceleration</t>
  </si>
  <si>
    <t xml:space="preserve">Terminal gross margin</t>
  </si>
  <si>
    <t xml:space="preserve">Services mix shift</t>
  </si>
  <si>
    <t xml:space="preserve">48.5% by FY2030</t>
  </si>
  <si>
    <t xml:space="preserve">WACC</t>
  </si>
  <si>
    <t xml:space="preserve">CAPM + market weights</t>
  </si>
  <si>
    <t xml:space="preserve">Calculated from inputs</t>
  </si>
  <si>
    <t xml:space="preserve">Terminal growth rate</t>
  </si>
  <si>
    <t xml:space="preserve">Long-term GDP growth</t>
  </si>
  <si>
    <t xml:space="preserve">Conservative</t>
  </si>
  <si>
    <t xml:space="preserve">Effective tax rate</t>
  </si>
  <si>
    <t xml:space="preserve">Statutory rate</t>
  </si>
  <si>
    <t xml:space="preserve">Post-tax reform</t>
  </si>
  <si>
    <t xml:space="preserve">Historical Financial Summary</t>
  </si>
  <si>
    <t xml:space="preserve">Apple Inc. — FY2021-FY2025 (in millions USD)</t>
  </si>
  <si>
    <t xml:space="preserve">INCOME STATEMENT</t>
  </si>
  <si>
    <t xml:space="preserve">Metric ($M)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</si>
  <si>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</si>
  <si>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</si>
  <si>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</si>
  <si>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</si>
  <si>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</si>
  <si>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Revenue</t>
  </si>
  <si>
    <t xml:space="preserve">Cost of Revenue (COGS)</t>
  </si>
  <si>
    <t xml:space="preserve">Gross Profit</t>
  </si>
  <si>
    <t xml:space="preserve">R&amp;D Expenses</t>
  </si>
  <si>
    <t xml:space="preserve">SG&amp;A Expenses</t>
  </si>
  <si>
    <t xml:space="preserve">Total Operating Expenses</t>
  </si>
  <si>
    <t xml:space="preserve">Operating Income (EBIT)</t>
  </si>
  <si>
    <t xml:space="preserve">Income Tax Expense</t>
  </si>
  <si>
    <t xml:space="preserve">Net Income</t>
  </si>
  <si>
    <t xml:space="preserve">KEY MARGINS &amp; RATIOS</t>
  </si>
  <si>
    <t xml:space="preserve">Revenue Growth</t>
  </si>
  <si>
    <t xml:space="preserve">Gross Margin</t>
  </si>
  <si>
    <t xml:space="preserve">R&amp;D as % of Revenue</t>
  </si>
  <si>
    <t xml:space="preserve">SG&amp;A as % of Revenue</t>
  </si>
  <si>
    <t xml:space="preserve">Operating Margin (EBIT)</t>
  </si>
  <si>
    <t xml:space="preserve">Effective Tax Rate</t>
  </si>
  <si>
    <t xml:space="preserve">Net Margin</t>
  </si>
  <si>
    <t xml:space="preserve">BALANCE SHEET &amp; CASH FLOW</t>
  </si>
  <si>
    <t xml:space="preserve">Cash &amp; Short-term Investments</t>
  </si>
  <si>
    <t xml:space="preserve">Total Debt</t>
  </si>
  <si>
    <t xml:space="preserve">Net Debt</t>
  </si>
  <si>
    <t xml:space="preserve">Total Equity</t>
  </si>
  <si>
    <t xml:space="preserve">Total Assets</t>
  </si>
  <si>
    <t xml:space="preserve">Depreciation &amp; Amortization</t>
  </si>
  <si>
    <t xml:space="preserve">Capital Expenditure</t>
  </si>
  <si>
    <t xml:space="preserve">Free Cash Flow</t>
  </si>
  <si>
    <t xml:space="preserve">Diluted Shares Outstanding</t>
  </si>
  <si>
    <t xml:space="preserve">Source: Apple Inc. FY2025 Form 10-K (SEC filing), StockAnalysis.com, Macrotrends.net</t>
  </si>
  <si>
    <t xml:space="preserve">Valuation Assumptions</t>
  </si>
  <si>
    <t xml:space="preserve">All projection inputs — change yellow cells to update the entire model</t>
  </si>
  <si>
    <t xml:space="preserve">REVENUE GROWTH ASSUMPTIONS</t>
  </si>
  <si>
    <t xml:space="preserve">Fiscal Year</t>
  </si>
  <si>
    <t xml:space="preserve">Growth Rate</t>
  </si>
  <si>
    <t xml:space="preserve">FY2026E</t>
  </si>
  <si>
    <t xml:space="preserve">iPhone 17 cycle, Services growth</t>
  </si>
  <si>
    <t xml:space="preserve">FY2027E</t>
  </si>
  <si>
    <t xml:space="preserve">Continued Services momentum</t>
  </si>
  <si>
    <t xml:space="preserve">FY2028E</t>
  </si>
  <si>
    <t xml:space="preserve">Maturing product cycle</t>
  </si>
  <si>
    <t xml:space="preserve">FY2029E</t>
  </si>
  <si>
    <t xml:space="preserve">FY2030E</t>
  </si>
  <si>
    <t xml:space="preserve">Approaching long-term growth</t>
  </si>
  <si>
    <t xml:space="preserve">5-Year Average Growth (CAGR)</t>
  </si>
  <si>
    <t xml:space="preserve">MARGIN ASSUMPTIONS (AS % OF REVENUE)</t>
  </si>
  <si>
    <t xml:space="preserve">Metric</t>
  </si>
  <si>
    <t xml:space="preserve">FY2025A</t>
  </si>
  <si>
    <t xml:space="preserve">Services mix shift improves margin</t>
  </si>
  <si>
    <t xml:space="preserve">Continued AI/AR investment</t>
  </si>
  <si>
    <t xml:space="preserve">Operating leverage</t>
  </si>
  <si>
    <t xml:space="preserve">D&amp;A as % of Revenue</t>
  </si>
  <si>
    <t xml:space="preserve">Capex ramp for data centers</t>
  </si>
  <si>
    <t xml:space="preserve">Capex as % of Revenue</t>
  </si>
  <si>
    <t xml:space="preserve">Infrastructure investment</t>
  </si>
  <si>
    <t xml:space="preserve">Note: Margins for FY2026-FY2029 are linearly interpolated between FY2025A and FY2030E</t>
  </si>
  <si>
    <t xml:space="preserve">TAX &amp; OTHER ASSUMPTIONS</t>
  </si>
  <si>
    <t xml:space="preserve">U.S. statutory rate post-TCJA</t>
  </si>
  <si>
    <t xml:space="preserve">Net Working Capital (% of Revenue)</t>
  </si>
  <si>
    <t xml:space="preserve">Minimal WC needs (asset-light)</t>
  </si>
  <si>
    <t xml:space="preserve">Shares Outstanding (M)</t>
  </si>
  <si>
    <t xml:space="preserve">FY2025 diluted weighted average</t>
  </si>
  <si>
    <t xml:space="preserve">As of October 1, 2026</t>
  </si>
  <si>
    <t xml:space="preserve">TERMINAL VALUE ASSUMPTIONS</t>
  </si>
  <si>
    <t xml:space="preserve">Terminal Growth Rate</t>
  </si>
  <si>
    <t xml:space="preserve">Long-term U.S. GDP growth</t>
  </si>
  <si>
    <t xml:space="preserve">Terminal WACC</t>
  </si>
  <si>
    <t xml:space="preserve">Same as projection period WACC</t>
  </si>
  <si>
    <t xml:space="preserve">Exit EV/EBITDA Multiple</t>
  </si>
  <si>
    <t xml:space="preserve">Peer median for mature tech</t>
  </si>
  <si>
    <t xml:space="preserve">LEGEND</t>
  </si>
  <si>
    <t xml:space="preserve">Blue text on yellow fill</t>
  </si>
  <si>
    <t xml:space="preserve">Input assumption — change to update model</t>
  </si>
  <si>
    <t xml:space="preserve">Blue text on light fill</t>
  </si>
  <si>
    <t xml:space="preserve">Historical data input</t>
  </si>
  <si>
    <t xml:space="preserve">Black text</t>
  </si>
  <si>
    <t xml:space="preserve">Calculated formula</t>
  </si>
  <si>
    <t xml:space="preserve">Green text</t>
  </si>
  <si>
    <t xml:space="preserve">Direct link to another sheet</t>
  </si>
  <si>
    <t xml:space="preserve">Income Statement Projections</t>
  </si>
  <si>
    <t xml:space="preserve">Apple Inc. — FY2025A through FY2030E (in millions USD)</t>
  </si>
  <si>
    <t xml:space="preserve">Income Statement ($M)</t>
  </si>
  <si>
    <t xml:space="preserve">D&amp;A</t>
  </si>
  <si>
    <t xml:space="preserve">Capex</t>
  </si>
  <si>
    <t xml:space="preserve">EBITDA</t>
  </si>
  <si>
    <t xml:space="preserve">KEY MARGINS</t>
  </si>
  <si>
    <t xml:space="preserve">Margin</t>
  </si>
  <si>
    <t xml:space="preserve">R&amp;D Margin</t>
  </si>
  <si>
    <t xml:space="preserve">SG&amp;A Margin</t>
  </si>
  <si>
    <t xml:space="preserve">EBITDA Margin</t>
  </si>
  <si>
    <t xml:space="preserve">Free Cash Flow Projections</t>
  </si>
  <si>
    <t xml:space="preserve">Unlevered Free Cash Flow (FCFF) — FY2025A through FY2030E</t>
  </si>
  <si>
    <t xml:space="preserve">Free Cash Flow ($M)</t>
  </si>
  <si>
    <t xml:space="preserve">EBIT (Operating Income)</t>
  </si>
  <si>
    <t xml:space="preserve">Tax Rate</t>
  </si>
  <si>
    <t xml:space="preserve">NOPAT [EBIT x (1 - Tax Rate)]</t>
  </si>
  <si>
    <t xml:space="preserve">Change in Net Working Capital</t>
  </si>
  <si>
    <t xml:space="preserve">Unlevered Free Cash Flow (FCFF)</t>
  </si>
  <si>
    <t xml:space="preserve">FCFF Margin</t>
  </si>
  <si>
    <t xml:space="preserve">DISCOUNTING</t>
  </si>
  <si>
    <t xml:space="preserve">Item</t>
  </si>
  <si>
    <t xml:space="preserve">Period (n)</t>
  </si>
  <si>
    <t xml:space="preserve">Discount Factor [1/(1+WACC)^n]</t>
  </si>
  <si>
    <t xml:space="preserve">PV of FCFF</t>
  </si>
  <si>
    <t xml:space="preserve">Sum of PV (FCFF, FY2026-FY2030)</t>
  </si>
  <si>
    <t xml:space="preserve">Weighted Average Cost of Capital (WACC)</t>
  </si>
  <si>
    <t xml:space="preserve">CAPM-based cost of equity + market-value capital weights</t>
  </si>
  <si>
    <t xml:space="preserve">COST OF EQUITY (CAPM)</t>
  </si>
  <si>
    <t xml:space="preserve">Component</t>
  </si>
  <si>
    <t xml:space="preserve">Source</t>
  </si>
  <si>
    <t xml:space="preserve">Risk-Free Rate (10Y Treasury)</t>
  </si>
  <si>
    <t xml:space="preserve">U.S. 10Y Treasury yield (Oct 2026)</t>
  </si>
  <si>
    <t xml:space="preserve">Equity Risk Premium</t>
  </si>
  <si>
    <t xml:space="preserve">Long-term ERP estimate (Damodaran)</t>
  </si>
  <si>
    <t xml:space="preserve">Beta</t>
  </si>
  <si>
    <t xml:space="preserve">5-year monthly regression vs S&amp;P 500</t>
  </si>
  <si>
    <t xml:space="preserve">Cost of Equity [Rf + Beta x ERP]</t>
  </si>
  <si>
    <t xml:space="preserve">Result: ~9.5%</t>
  </si>
  <si>
    <t xml:space="preserve">COST OF DEBT</t>
  </si>
  <si>
    <t xml:space="preserve">Pre-Tax Cost of Debt</t>
  </si>
  <si>
    <t xml:space="preserve">Weighted avg coupon on outstanding debt</t>
  </si>
  <si>
    <t xml:space="preserve">Statutory tax rate</t>
  </si>
  <si>
    <t xml:space="preserve">After-Tax Cost of Debt [Kd x (1 - Tax)]</t>
  </si>
  <si>
    <t xml:space="preserve">CAPITAL STRUCTURE (MARKET VALUES)</t>
  </si>
  <si>
    <t xml:space="preserve">WACC CALCULATION</t>
  </si>
  <si>
    <t xml:space="preserve">Value ($M)</t>
  </si>
  <si>
    <t xml:space="preserve">Weight</t>
  </si>
  <si>
    <t xml:space="preserve">Cost</t>
  </si>
  <si>
    <t xml:space="preserve">Contribution</t>
  </si>
  <si>
    <t xml:space="preserve">Market Value of Equity (E)</t>
  </si>
  <si>
    <t xml:space="preserve">Market Value of Debt (D)</t>
  </si>
  <si>
    <t xml:space="preserve">Total Capital (V = E + D)</t>
  </si>
  <si>
    <t xml:space="preserve">Valuation Summary</t>
  </si>
  <si>
    <t xml:space="preserve">Enterprise value, equity value, and implied share price</t>
  </si>
  <si>
    <t xml:space="preserve">DCF VALUATION (GORDON GROWTH)</t>
  </si>
  <si>
    <t xml:space="preserve">PV of Explicit FCFF (FY2026-FY2030)</t>
  </si>
  <si>
    <t xml:space="preserve">Sum of discounted unlevered FCF</t>
  </si>
  <si>
    <t xml:space="preserve">TERMINAL VALUE CALCULATION</t>
  </si>
  <si>
    <t xml:space="preserve">FY2030E FCFF</t>
  </si>
  <si>
    <t xml:space="preserve">Final year unlevered FCF</t>
  </si>
  <si>
    <t xml:space="preserve">Same as projection WACC</t>
  </si>
  <si>
    <t xml:space="preserve">Terminal Value [FCFF x (1+g) / (WACC - g)]</t>
  </si>
  <si>
    <t xml:space="preserve">Gordon Growth Model</t>
  </si>
  <si>
    <t xml:space="preserve">PV of Terminal Value</t>
  </si>
  <si>
    <t xml:space="preserve">Discounted at WACC for 5 years</t>
  </si>
  <si>
    <t xml:space="preserve">PV of Explicit FCFF</t>
  </si>
  <si>
    <t xml:space="preserve">Terminal Value % of EV</t>
  </si>
  <si>
    <t xml:space="preserve">Less: Net Debt</t>
  </si>
  <si>
    <t xml:space="preserve">Upside/(Downside) vs Current</t>
  </si>
  <si>
    <t xml:space="preserve">Sensitivity Analysis</t>
  </si>
  <si>
    <t xml:space="preserve">Implied share price under varying WACC and terminal growth rates</t>
  </si>
  <si>
    <t xml:space="preserve">Yellow cell = Base case (WACC 9.5%, terminal growth 3.0%)</t>
  </si>
  <si>
    <t xml:space="preserve">TERMINAL VALUE: EXIT MULTIPLE METHOD</t>
  </si>
  <si>
    <t xml:space="preserve">FY2030E EBITDA</t>
  </si>
  <si>
    <t xml:space="preserve">Final year EBITDA</t>
  </si>
  <si>
    <t xml:space="preserve">Peer median multiple</t>
  </si>
  <si>
    <t xml:space="preserve">Terminal Value (Exit Multiple)</t>
  </si>
  <si>
    <t xml:space="preserve">EBITDA x multiple</t>
  </si>
  <si>
    <t xml:space="preserve">Discounted at WACC</t>
  </si>
  <si>
    <t xml:space="preserve">Enterprise Value (Exit Multiple)</t>
  </si>
  <si>
    <t xml:space="preserve">PV FCFF + PV TV</t>
  </si>
  <si>
    <t xml:space="preserve">EV - Net Debt</t>
  </si>
  <si>
    <t xml:space="preserve">Equity / Shares</t>
  </si>
  <si>
    <t xml:space="preserve">Comparable Company Analysis</t>
  </si>
  <si>
    <t xml:space="preserve">Trading multiples for peer group — as of October 2026</t>
  </si>
  <si>
    <t xml:space="preserve">COMPARABLE COMPANIES</t>
  </si>
  <si>
    <t xml:space="preserve">Price</t>
  </si>
  <si>
    <t xml:space="preserve">Market Cap ($B)</t>
  </si>
  <si>
    <t xml:space="preserve">Revenue TTM ($B)</t>
  </si>
  <si>
    <t xml:space="preserve">EBITDA TTM ($B)</t>
  </si>
  <si>
    <t xml:space="preserve">P/E (TTM)</t>
  </si>
  <si>
    <t xml:space="preserve">EV/EBITDA</t>
  </si>
  <si>
    <t xml:space="preserve">EV/Sales</t>
  </si>
  <si>
    <t xml:space="preserve">Apple</t>
  </si>
  <si>
    <t xml:space="preserve">AAPL</t>
  </si>
  <si>
    <t xml:space="preserve">Microsoft</t>
  </si>
  <si>
    <t xml:space="preserve">MSFT</t>
  </si>
  <si>
    <t xml:space="preserve">Alphabet</t>
  </si>
  <si>
    <t xml:space="preserve">GOOGL</t>
  </si>
  <si>
    <t xml:space="preserve">Meta Platforms</t>
  </si>
  <si>
    <t xml:space="preserve">META</t>
  </si>
  <si>
    <t xml:space="preserve">Samsung Electronics</t>
  </si>
  <si>
    <t xml:space="preserve">SSNLF</t>
  </si>
  <si>
    <t xml:space="preserve">Sony Group</t>
  </si>
  <si>
    <t xml:space="preserve">SONY</t>
  </si>
  <si>
    <t xml:space="preserve">SUMMARY STATISTICS</t>
  </si>
  <si>
    <t xml:space="preserve">Statistic</t>
  </si>
  <si>
    <t xml:space="preserve">Median</t>
  </si>
  <si>
    <t xml:space="preserve">Mean</t>
  </si>
  <si>
    <t xml:space="preserve">Min</t>
  </si>
  <si>
    <t xml:space="preserve">Max</t>
  </si>
  <si>
    <t xml:space="preserve">IMPLIED VALUATION FOR AAPL (USING PEER MEDIAN MULTIPLES)</t>
  </si>
  <si>
    <t xml:space="preserve">Method</t>
  </si>
  <si>
    <t xml:space="preserve">AAPL Metric</t>
  </si>
  <si>
    <t xml:space="preserve">Peer Median</t>
  </si>
  <si>
    <t xml:space="preserve">Implied EV ($B)</t>
  </si>
  <si>
    <t xml:space="preserve">Implied Price</t>
  </si>
  <si>
    <t xml:space="preserve">Source: Public market data as of October 2026. Peer multiples are illustrative.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</si>
</sst>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\$#,##0.00;&quot;($&quot;#,##0.00\);\-"/>
    <numFmt numFmtId="167" formatCode="0.0%"/>
    <numFmt numFmtId="168" formatCode="0.00%"/>
    <numFmt numFmtId="169" formatCode="#,##0"/>
    <numFmt numFmtId="170" formatCode="0.0\x"/>
    <numFmt numFmtId="171" formatCode="0.0000"/>
    <numFmt numFmtId="172" formatCode="#,##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i val="true"/>
      <sz val="9"/>
      <color rgb="FF7A7974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b val="true"/>
      <sz val="14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8000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4"/>
      <color rgb="FF1F3864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F2F2F2"/>
        <bgColor rgb="FFEDF2F7"/>
      </patternFill>
    </fill>
    <fill>
      <patternFill patternType="solid">
        <fgColor rgb="FFEDF2F7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7974"/>
      <rgbColor rgb="FF9999FF"/>
      <rgbColor rgb="FF993366"/>
      <rgbColor rgb="FFF2F2F2"/>
      <rgbColor rgb="FFEDF2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8"/>
    <col collapsed="false" customWidth="true" hidden="false" outlineLevel="0" max="8" min="8" style="0" width="15"/>
  </cols>
  <sheetData>
    <row r="2" customFormat="false" ht="24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</row>
    <row r="5" customFormat="false" ht="30" hidden="false" customHeight="true" outlineLevel="0" collapsed="false">
      <c r="B5" s="3" t="s">
        <v>2</v>
      </c>
      <c r="C5" s="3"/>
      <c r="D5" s="3"/>
      <c r="E5" s="3"/>
      <c r="F5" s="3"/>
      <c r="G5" s="3"/>
      <c r="H5" s="3"/>
      <c r="I5" s="3"/>
      <c r="J5" s="3"/>
    </row>
    <row r="6" customFormat="false" ht="15" hidden="false" customHeight="false" outlineLevel="0" collapsed="false">
      <c r="B6" s="3"/>
      <c r="C6" s="3"/>
      <c r="D6" s="3"/>
      <c r="E6" s="3"/>
      <c r="F6" s="3"/>
      <c r="G6" s="3"/>
      <c r="H6" s="3"/>
      <c r="I6" s="3"/>
      <c r="J6" s="3"/>
    </row>
    <row r="8" customFormat="false" ht="15" hidden="false" customHeight="false" outlineLevel="0" collapsed="false">
      <c r="B8" s="4" t="s">
        <v>3</v>
      </c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B9" s="5" t="s">
        <v>4</v>
      </c>
      <c r="C9" s="6" t="s">
        <v>5</v>
      </c>
      <c r="D9" s="6"/>
      <c r="E9" s="6"/>
    </row>
    <row r="10" customFormat="false" ht="15" hidden="false" customHeight="false" outlineLevel="0" collapsed="false">
      <c r="B10" s="5" t="s">
        <v>6</v>
      </c>
      <c r="C10" s="6" t="s">
        <v>7</v>
      </c>
      <c r="D10" s="6"/>
      <c r="E10" s="6"/>
    </row>
    <row r="11" customFormat="false" ht="15" hidden="false" customHeight="false" outlineLevel="0" collapsed="false">
      <c r="B11" s="5" t="s">
        <v>8</v>
      </c>
      <c r="C11" s="6" t="s">
        <v>9</v>
      </c>
      <c r="D11" s="6"/>
      <c r="E11" s="6"/>
    </row>
    <row r="12" customFormat="false" ht="15" hidden="false" customHeight="false" outlineLevel="0" collapsed="false">
      <c r="B12" s="5" t="s">
        <v>10</v>
      </c>
      <c r="C12" s="6" t="s">
        <v>11</v>
      </c>
      <c r="D12" s="6"/>
      <c r="E12" s="6"/>
    </row>
    <row r="13" customFormat="false" ht="15" hidden="false" customHeight="false" outlineLevel="0" collapsed="false">
      <c r="B13" s="5" t="s">
        <v>12</v>
      </c>
      <c r="C13" s="6" t="s">
        <v>13</v>
      </c>
      <c r="D13" s="6"/>
      <c r="E13" s="6"/>
    </row>
    <row r="14" customFormat="false" ht="15" hidden="false" customHeight="false" outlineLevel="0" collapsed="false">
      <c r="B14" s="5" t="s">
        <v>14</v>
      </c>
      <c r="C14" s="6" t="s">
        <v>15</v>
      </c>
      <c r="D14" s="6"/>
      <c r="E14" s="6"/>
    </row>
    <row r="15" customFormat="false" ht="15" hidden="false" customHeight="false" outlineLevel="0" collapsed="false">
      <c r="B15" s="5" t="s">
        <v>16</v>
      </c>
      <c r="C15" s="6" t="s">
        <v>17</v>
      </c>
      <c r="D15" s="6"/>
      <c r="E15" s="6"/>
    </row>
    <row r="16" customFormat="false" ht="15" hidden="false" customHeight="false" outlineLevel="0" collapsed="false">
      <c r="B16" s="5" t="s">
        <v>18</v>
      </c>
      <c r="C16" s="6" t="s">
        <v>19</v>
      </c>
      <c r="D16" s="6"/>
      <c r="E16" s="6"/>
    </row>
    <row r="17" customFormat="false" ht="15" hidden="false" customHeight="false" outlineLevel="0" collapsed="false">
      <c r="B17" s="5" t="s">
        <v>20</v>
      </c>
      <c r="C17" s="6" t="s">
        <v>21</v>
      </c>
      <c r="D17" s="6"/>
      <c r="E17" s="6"/>
    </row>
    <row r="20" customFormat="false" ht="15" hidden="false" customHeight="false" outlineLevel="0" collapsed="false">
      <c r="B20" s="4" t="s">
        <v>22</v>
      </c>
      <c r="C20" s="4"/>
      <c r="D20" s="4"/>
      <c r="E20" s="4"/>
      <c r="F20" s="4"/>
      <c r="G20" s="4"/>
      <c r="H20" s="4"/>
    </row>
    <row r="21" customFormat="false" ht="19.5" hidden="false" customHeight="true" outlineLevel="0" collapsed="false">
      <c r="B21" s="7" t="s">
        <v>23</v>
      </c>
      <c r="C21" s="7" t="s">
        <v>24</v>
      </c>
      <c r="D21" s="7" t="s">
        <v>25</v>
      </c>
      <c r="E21" s="7" t="s">
        <v>26</v>
      </c>
      <c r="F21" s="7" t="s">
        <v>27</v>
      </c>
      <c r="G21" s="7" t="s">
        <v>28</v>
      </c>
    </row>
    <row r="22" customFormat="false" ht="27.75" hidden="false" customHeight="true" outlineLevel="0" collapsed="false">
      <c r="B22" s="8" t="n">
        <f aca="false">'7. Valuation Summary'!E20</f>
        <v>2098714.12876903</v>
      </c>
      <c r="C22" s="8" t="n">
        <f aca="false">'7. Valuation Summary'!E22</f>
        <v>2041034.12876903</v>
      </c>
      <c r="D22" s="9" t="n">
        <f aca="false">'7. Valuation Summary'!E24</f>
        <v>138.187821853015</v>
      </c>
      <c r="E22" s="9" t="n">
        <v>330</v>
      </c>
      <c r="F22" s="10" t="n">
        <f aca="false">'7. Valuation Summary'!E26</f>
        <v>-0.581249024687834</v>
      </c>
      <c r="G22" s="11" t="str">
        <f aca="false">'7. Valuation Summary'!E27</f>
        <v>SELL</v>
      </c>
    </row>
    <row r="24" customFormat="false" ht="15" hidden="false" customHeight="false" outlineLevel="0" collapsed="false">
      <c r="B24" s="4" t="s">
        <v>29</v>
      </c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B25" s="12" t="s">
        <v>30</v>
      </c>
      <c r="C25" s="12" t="s">
        <v>31</v>
      </c>
      <c r="D25" s="12" t="s">
        <v>32</v>
      </c>
      <c r="E25" s="12"/>
      <c r="F25" s="12"/>
      <c r="G25" s="13" t="s">
        <v>33</v>
      </c>
      <c r="H25" s="13"/>
    </row>
    <row r="26" customFormat="false" ht="15" hidden="false" customHeight="false" outlineLevel="0" collapsed="false">
      <c r="B26" s="5" t="s">
        <v>34</v>
      </c>
      <c r="C26" s="14" t="n">
        <f aca="false">'3. Assumptions'!C12</f>
        <v>0.0518598949751206</v>
      </c>
      <c r="D26" s="15" t="s">
        <v>35</v>
      </c>
      <c r="E26" s="15"/>
      <c r="F26" s="15"/>
      <c r="G26" s="15" t="s">
        <v>36</v>
      </c>
      <c r="H26" s="15"/>
    </row>
    <row r="27" customFormat="false" ht="15" hidden="false" customHeight="false" outlineLevel="0" collapsed="false">
      <c r="B27" s="5" t="s">
        <v>37</v>
      </c>
      <c r="C27" s="14" t="n">
        <f aca="false">'3. Assumptions'!C20</f>
        <v>0.031</v>
      </c>
      <c r="D27" s="15" t="s">
        <v>38</v>
      </c>
      <c r="E27" s="15"/>
      <c r="F27" s="15"/>
      <c r="G27" s="15" t="s">
        <v>39</v>
      </c>
      <c r="H27" s="15"/>
    </row>
    <row r="28" customFormat="false" ht="15" hidden="false" customHeight="false" outlineLevel="0" collapsed="false">
      <c r="B28" s="5" t="s">
        <v>40</v>
      </c>
      <c r="C28" s="16" t="n">
        <f aca="false">'6. WACC'!J1</f>
        <v>0.0937154279464239</v>
      </c>
      <c r="D28" s="15" t="s">
        <v>41</v>
      </c>
      <c r="E28" s="15"/>
      <c r="F28" s="15"/>
      <c r="G28" s="15" t="s">
        <v>42</v>
      </c>
      <c r="H28" s="15"/>
    </row>
    <row r="29" customFormat="false" ht="15" hidden="false" customHeight="false" outlineLevel="0" collapsed="false">
      <c r="B29" s="5" t="s">
        <v>43</v>
      </c>
      <c r="C29" s="14" t="n">
        <f aca="false">'3. Assumptions'!C30</f>
        <v>0</v>
      </c>
      <c r="D29" s="15" t="s">
        <v>44</v>
      </c>
      <c r="E29" s="15"/>
      <c r="F29" s="15"/>
      <c r="G29" s="15" t="s">
        <v>45</v>
      </c>
      <c r="H29" s="15"/>
    </row>
    <row r="30" customFormat="false" ht="15" hidden="false" customHeight="false" outlineLevel="0" collapsed="false">
      <c r="B30" s="5" t="s">
        <v>46</v>
      </c>
      <c r="C30" s="14" t="n">
        <f aca="false">'3. Assumptions'!C24</f>
        <v>0</v>
      </c>
      <c r="D30" s="15" t="s">
        <v>47</v>
      </c>
      <c r="E30" s="15"/>
      <c r="F30" s="15"/>
      <c r="G30" s="15" t="s">
        <v>48</v>
      </c>
      <c r="H30" s="15"/>
    </row>
  </sheetData>
  <mergeCells count="27">
    <mergeCell ref="B2:J2"/>
    <mergeCell ref="B3:J3"/>
    <mergeCell ref="B5:J6"/>
    <mergeCell ref="B8:H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B20:H20"/>
    <mergeCell ref="B24:H24"/>
    <mergeCell ref="D25:F25"/>
    <mergeCell ref="G25:H25"/>
    <mergeCell ref="D26:F26"/>
    <mergeCell ref="G26:H26"/>
    <mergeCell ref="D27:F27"/>
    <mergeCell ref="G27:H27"/>
    <mergeCell ref="D28:F28"/>
    <mergeCell ref="G28:H28"/>
    <mergeCell ref="D29:F29"/>
    <mergeCell ref="G29:H29"/>
    <mergeCell ref="D30:F30"/>
    <mergeCell ref="G30:H30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"/>
    <col collapsed="false" customWidth="true" hidden="false" outlineLevel="0" max="8" min="3" style="0" width="14"/>
  </cols>
  <sheetData>
    <row r="2" customFormat="false" ht="24" hidden="false" customHeight="true" outlineLevel="0" collapsed="false">
      <c r="B2" s="1" t="s">
        <v>49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50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4" t="s">
        <v>51</v>
      </c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B6" s="12" t="s">
        <v>52</v>
      </c>
      <c r="C6" s="12" t="s">
        <v>53</v>
      </c>
      <c r="D6" s="12" t="s">
        <v>54</v>
      </c>
      <c r="E6" s="12" t="s">
        <v>55</v>
      </c>
      <c r="F6" s="12" t="s">
        <v>56</v>
      </c>
      <c r="G6" s="12" t="s">
        <v>57</v>
      </c>
    </row>
    <row r="7" customFormat="false" ht="15" hidden="false" customHeight="false" outlineLevel="0" collapsed="false">
      <c r="B7" s="5" t="s">
        <v>58</v>
      </c>
      <c r="C7" s="17" t="n">
        <v>365817</v>
      </c>
      <c r="D7" s="17" t="n">
        <v>394328</v>
      </c>
      <c r="E7" s="17" t="n">
        <v>383285</v>
      </c>
      <c r="F7" s="17" t="n">
        <v>391035</v>
      </c>
      <c r="G7" s="17" t="n">
        <v>416161</v>
      </c>
    </row>
    <row r="8" customFormat="false" ht="15" hidden="false" customHeight="false" outlineLevel="0" collapsed="false">
      <c r="B8" s="5" t="s">
        <v>59</v>
      </c>
      <c r="C8" s="17" t="n">
        <v>212981</v>
      </c>
      <c r="D8" s="17" t="n">
        <v>223546</v>
      </c>
      <c r="E8" s="17" t="n">
        <v>214137</v>
      </c>
      <c r="F8" s="17" t="n">
        <v>210352</v>
      </c>
      <c r="G8" s="17" t="n">
        <v>220960</v>
      </c>
    </row>
    <row r="9" customFormat="false" ht="15" hidden="false" customHeight="false" outlineLevel="0" collapsed="false">
      <c r="B9" s="5" t="s">
        <v>60</v>
      </c>
      <c r="C9" s="17" t="n">
        <v>152836</v>
      </c>
      <c r="D9" s="17" t="n">
        <v>170782</v>
      </c>
      <c r="E9" s="17" t="n">
        <v>169148</v>
      </c>
      <c r="F9" s="17" t="n">
        <v>180683</v>
      </c>
      <c r="G9" s="17" t="n">
        <v>195201</v>
      </c>
    </row>
    <row r="10" customFormat="false" ht="15" hidden="false" customHeight="false" outlineLevel="0" collapsed="false">
      <c r="B10" s="5" t="s">
        <v>61</v>
      </c>
      <c r="C10" s="17" t="n">
        <v>21914</v>
      </c>
      <c r="D10" s="17" t="n">
        <v>26251</v>
      </c>
      <c r="E10" s="17" t="n">
        <v>29915</v>
      </c>
      <c r="F10" s="17" t="n">
        <v>31370</v>
      </c>
      <c r="G10" s="17" t="n">
        <v>34550</v>
      </c>
    </row>
    <row r="11" customFormat="false" ht="15" hidden="false" customHeight="false" outlineLevel="0" collapsed="false">
      <c r="B11" s="5" t="s">
        <v>62</v>
      </c>
      <c r="C11" s="17" t="n">
        <v>21973</v>
      </c>
      <c r="D11" s="17" t="n">
        <v>25094</v>
      </c>
      <c r="E11" s="17" t="n">
        <v>24932</v>
      </c>
      <c r="F11" s="17" t="n">
        <v>26097</v>
      </c>
      <c r="G11" s="17" t="n">
        <v>27601</v>
      </c>
    </row>
    <row r="12" customFormat="false" ht="15" hidden="false" customHeight="false" outlineLevel="0" collapsed="false">
      <c r="B12" s="5" t="s">
        <v>63</v>
      </c>
      <c r="C12" s="17" t="n">
        <v>43887</v>
      </c>
      <c r="D12" s="17" t="n">
        <v>51345</v>
      </c>
      <c r="E12" s="17" t="n">
        <v>54847</v>
      </c>
      <c r="F12" s="17" t="n">
        <v>57467</v>
      </c>
      <c r="G12" s="17" t="n">
        <v>62151</v>
      </c>
    </row>
    <row r="13" customFormat="false" ht="15" hidden="false" customHeight="false" outlineLevel="0" collapsed="false">
      <c r="B13" s="5" t="s">
        <v>64</v>
      </c>
      <c r="C13" s="17" t="n">
        <v>108949</v>
      </c>
      <c r="D13" s="17" t="n">
        <v>119437</v>
      </c>
      <c r="E13" s="17" t="n">
        <v>114301</v>
      </c>
      <c r="F13" s="17" t="n">
        <v>123216</v>
      </c>
      <c r="G13" s="17" t="n">
        <v>133050</v>
      </c>
    </row>
    <row r="14" customFormat="false" ht="15" hidden="false" customHeight="false" outlineLevel="0" collapsed="false">
      <c r="B14" s="5" t="s">
        <v>65</v>
      </c>
      <c r="C14" s="17" t="n">
        <v>14527</v>
      </c>
      <c r="D14" s="17" t="n">
        <v>19300</v>
      </c>
      <c r="E14" s="17" t="n">
        <v>16741</v>
      </c>
      <c r="F14" s="17" t="n">
        <v>29749</v>
      </c>
      <c r="G14" s="17" t="n">
        <v>20719</v>
      </c>
    </row>
    <row r="15" customFormat="false" ht="15" hidden="false" customHeight="false" outlineLevel="0" collapsed="false">
      <c r="B15" s="5" t="s">
        <v>66</v>
      </c>
      <c r="C15" s="17" t="n">
        <v>94680</v>
      </c>
      <c r="D15" s="17" t="n">
        <v>99803</v>
      </c>
      <c r="E15" s="17" t="n">
        <v>96995</v>
      </c>
      <c r="F15" s="17" t="n">
        <v>93736</v>
      </c>
      <c r="G15" s="17" t="n">
        <v>112010</v>
      </c>
    </row>
    <row r="17" customFormat="false" ht="15" hidden="false" customHeight="false" outlineLevel="0" collapsed="false">
      <c r="B17" s="4" t="s">
        <v>67</v>
      </c>
      <c r="C17" s="4"/>
      <c r="D17" s="4"/>
      <c r="E17" s="4"/>
      <c r="F17" s="4"/>
      <c r="G17" s="4"/>
      <c r="H17" s="4"/>
    </row>
    <row r="18" customFormat="false" ht="15" hidden="false" customHeight="false" outlineLevel="0" collapsed="false">
      <c r="B18" s="5" t="s">
        <v>68</v>
      </c>
      <c r="C18" s="18"/>
      <c r="D18" s="19" t="n">
        <v>0.078</v>
      </c>
      <c r="E18" s="19" t="n">
        <v>-0.028</v>
      </c>
      <c r="F18" s="19" t="n">
        <v>0.02</v>
      </c>
      <c r="G18" s="19" t="n">
        <v>0.064</v>
      </c>
    </row>
    <row r="19" customFormat="false" ht="15" hidden="false" customHeight="false" outlineLevel="0" collapsed="false">
      <c r="B19" s="5" t="s">
        <v>69</v>
      </c>
      <c r="C19" s="19" t="n">
        <v>0.418</v>
      </c>
      <c r="D19" s="19" t="n">
        <v>0.433</v>
      </c>
      <c r="E19" s="19" t="n">
        <v>0.441</v>
      </c>
      <c r="F19" s="19" t="n">
        <v>0.462</v>
      </c>
      <c r="G19" s="19" t="n">
        <v>0.469</v>
      </c>
    </row>
    <row r="20" customFormat="false" ht="15" hidden="false" customHeight="false" outlineLevel="0" collapsed="false">
      <c r="B20" s="5" t="s">
        <v>70</v>
      </c>
      <c r="C20" s="19" t="n">
        <v>0.06</v>
      </c>
      <c r="D20" s="19" t="n">
        <v>0.067</v>
      </c>
      <c r="E20" s="19" t="n">
        <v>0.078</v>
      </c>
      <c r="F20" s="19" t="n">
        <v>0.08</v>
      </c>
      <c r="G20" s="19" t="n">
        <v>0.083</v>
      </c>
    </row>
    <row r="21" customFormat="false" ht="15" hidden="false" customHeight="false" outlineLevel="0" collapsed="false">
      <c r="B21" s="5" t="s">
        <v>71</v>
      </c>
      <c r="C21" s="19" t="n">
        <v>0.06</v>
      </c>
      <c r="D21" s="19" t="n">
        <v>0.064</v>
      </c>
      <c r="E21" s="19" t="n">
        <v>0.065</v>
      </c>
      <c r="F21" s="19" t="n">
        <v>0.067</v>
      </c>
      <c r="G21" s="19" t="n">
        <v>0.066</v>
      </c>
    </row>
    <row r="22" customFormat="false" ht="15" hidden="false" customHeight="false" outlineLevel="0" collapsed="false">
      <c r="B22" s="5" t="s">
        <v>72</v>
      </c>
      <c r="C22" s="19" t="n">
        <v>0.298</v>
      </c>
      <c r="D22" s="19" t="n">
        <v>0.303</v>
      </c>
      <c r="E22" s="19" t="n">
        <v>0.298</v>
      </c>
      <c r="F22" s="19" t="n">
        <v>0.315</v>
      </c>
      <c r="G22" s="19" t="n">
        <v>0.32</v>
      </c>
    </row>
    <row r="23" customFormat="false" ht="15" hidden="false" customHeight="false" outlineLevel="0" collapsed="false">
      <c r="B23" s="5" t="s">
        <v>73</v>
      </c>
      <c r="C23" s="19" t="n">
        <v>0.133</v>
      </c>
      <c r="D23" s="19" t="n">
        <v>0.162</v>
      </c>
      <c r="E23" s="19" t="n">
        <v>0.146</v>
      </c>
      <c r="F23" s="19" t="n">
        <v>0.241</v>
      </c>
      <c r="G23" s="19" t="n">
        <v>0.156</v>
      </c>
    </row>
    <row r="24" customFormat="false" ht="15" hidden="false" customHeight="false" outlineLevel="0" collapsed="false">
      <c r="B24" s="5" t="s">
        <v>74</v>
      </c>
      <c r="C24" s="19" t="n">
        <v>0.259</v>
      </c>
      <c r="D24" s="19" t="n">
        <v>0.253</v>
      </c>
      <c r="E24" s="19" t="n">
        <v>0.253</v>
      </c>
      <c r="F24" s="19" t="n">
        <v>0.24</v>
      </c>
      <c r="G24" s="19" t="n">
        <v>0.269</v>
      </c>
    </row>
    <row r="27" customFormat="false" ht="15" hidden="false" customHeight="false" outlineLevel="0" collapsed="false">
      <c r="B27" s="4" t="s">
        <v>75</v>
      </c>
      <c r="C27" s="4"/>
      <c r="D27" s="4"/>
      <c r="E27" s="4"/>
      <c r="F27" s="4"/>
      <c r="G27" s="4"/>
      <c r="H27" s="4"/>
    </row>
    <row r="28" customFormat="false" ht="15" hidden="false" customHeight="false" outlineLevel="0" collapsed="false">
      <c r="B28" s="5" t="s">
        <v>76</v>
      </c>
      <c r="C28" s="17" t="n">
        <v>62639</v>
      </c>
      <c r="D28" s="17" t="n">
        <v>48304</v>
      </c>
      <c r="E28" s="17" t="n">
        <v>61555</v>
      </c>
      <c r="F28" s="17" t="n">
        <v>65171</v>
      </c>
      <c r="G28" s="17" t="n">
        <v>54697</v>
      </c>
    </row>
    <row r="29" customFormat="false" ht="15" hidden="false" customHeight="false" outlineLevel="0" collapsed="false">
      <c r="B29" s="5" t="s">
        <v>77</v>
      </c>
      <c r="C29" s="17" t="n">
        <v>136522</v>
      </c>
      <c r="D29" s="17" t="n">
        <v>132480</v>
      </c>
      <c r="E29" s="17" t="n">
        <v>123930</v>
      </c>
      <c r="F29" s="17" t="n">
        <v>119059</v>
      </c>
      <c r="G29" s="17" t="n">
        <v>112377</v>
      </c>
    </row>
    <row r="30" customFormat="false" ht="15" hidden="false" customHeight="false" outlineLevel="0" collapsed="false">
      <c r="B30" s="5" t="s">
        <v>78</v>
      </c>
      <c r="C30" s="17" t="n">
        <v>73883</v>
      </c>
      <c r="D30" s="17" t="n">
        <v>84176</v>
      </c>
      <c r="E30" s="17" t="n">
        <v>62375</v>
      </c>
      <c r="F30" s="17" t="n">
        <v>53888</v>
      </c>
      <c r="G30" s="17" t="n">
        <v>57680</v>
      </c>
    </row>
    <row r="31" customFormat="false" ht="15" hidden="false" customHeight="false" outlineLevel="0" collapsed="false">
      <c r="B31" s="5" t="s">
        <v>79</v>
      </c>
      <c r="C31" s="17" t="n">
        <v>63090</v>
      </c>
      <c r="D31" s="17" t="n">
        <v>50672</v>
      </c>
      <c r="E31" s="17" t="n">
        <v>62146</v>
      </c>
      <c r="F31" s="17" t="n">
        <v>56950</v>
      </c>
      <c r="G31" s="17" t="n">
        <v>73733</v>
      </c>
    </row>
    <row r="32" customFormat="false" ht="15" hidden="false" customHeight="false" outlineLevel="0" collapsed="false">
      <c r="B32" s="5" t="s">
        <v>80</v>
      </c>
      <c r="C32" s="17" t="n">
        <v>351002</v>
      </c>
      <c r="D32" s="17" t="n">
        <v>352755</v>
      </c>
      <c r="E32" s="17" t="n">
        <v>352583</v>
      </c>
      <c r="F32" s="17" t="n">
        <v>364980</v>
      </c>
      <c r="G32" s="17" t="n">
        <v>359241</v>
      </c>
    </row>
    <row r="33" customFormat="false" ht="15" hidden="false" customHeight="false" outlineLevel="0" collapsed="false">
      <c r="B33" s="5" t="s">
        <v>81</v>
      </c>
      <c r="C33" s="17" t="n">
        <v>11284</v>
      </c>
      <c r="D33" s="17" t="n">
        <v>11104</v>
      </c>
      <c r="E33" s="17" t="n">
        <v>11519</v>
      </c>
      <c r="F33" s="17" t="n">
        <v>11445</v>
      </c>
      <c r="G33" s="17" t="n">
        <v>11698</v>
      </c>
    </row>
    <row r="34" customFormat="false" ht="15" hidden="false" customHeight="false" outlineLevel="0" collapsed="false">
      <c r="B34" s="5" t="s">
        <v>82</v>
      </c>
      <c r="C34" s="17" t="n">
        <v>9709</v>
      </c>
      <c r="D34" s="17" t="n">
        <v>10708</v>
      </c>
      <c r="E34" s="17" t="n">
        <v>10959</v>
      </c>
      <c r="F34" s="17" t="n">
        <v>9447</v>
      </c>
      <c r="G34" s="17" t="n">
        <v>12715</v>
      </c>
    </row>
    <row r="35" customFormat="false" ht="15" hidden="false" customHeight="false" outlineLevel="0" collapsed="false">
      <c r="B35" s="5" t="s">
        <v>83</v>
      </c>
      <c r="C35" s="17" t="n">
        <v>92953</v>
      </c>
      <c r="D35" s="17" t="n">
        <v>111443</v>
      </c>
      <c r="E35" s="17" t="n">
        <v>99584</v>
      </c>
      <c r="F35" s="17" t="n">
        <v>108807</v>
      </c>
      <c r="G35" s="17" t="n">
        <v>98767</v>
      </c>
    </row>
    <row r="36" customFormat="false" ht="15" hidden="false" customHeight="false" outlineLevel="0" collapsed="false">
      <c r="B36" s="5" t="s">
        <v>84</v>
      </c>
      <c r="C36" s="20" t="n">
        <v>16464</v>
      </c>
      <c r="D36" s="20" t="n">
        <v>16216</v>
      </c>
      <c r="E36" s="20" t="n">
        <v>15813</v>
      </c>
      <c r="F36" s="20" t="n">
        <v>15406</v>
      </c>
      <c r="G36" s="20" t="n">
        <v>15005</v>
      </c>
    </row>
    <row r="39" customFormat="false" ht="15" hidden="false" customHeight="false" outlineLevel="0" collapsed="false">
      <c r="B39" s="21" t="s">
        <v>85</v>
      </c>
    </row>
  </sheetData>
  <mergeCells count="5">
    <mergeCell ref="B2:J2"/>
    <mergeCell ref="B3:J3"/>
    <mergeCell ref="B5:H5"/>
    <mergeCell ref="B17:H17"/>
    <mergeCell ref="B27:H27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4" min="4" style="0" width="5"/>
    <col collapsed="false" customWidth="true" hidden="false" outlineLevel="0" max="5" min="5" style="0" width="50"/>
  </cols>
  <sheetData>
    <row r="2" customFormat="false" ht="24" hidden="false" customHeight="true" outlineLevel="0" collapsed="false">
      <c r="B2" s="1" t="s">
        <v>86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87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4" t="s">
        <v>88</v>
      </c>
      <c r="C5" s="4"/>
      <c r="D5" s="4"/>
      <c r="E5" s="4"/>
    </row>
    <row r="6" customFormat="false" ht="15" hidden="false" customHeight="false" outlineLevel="0" collapsed="false">
      <c r="B6" s="12" t="s">
        <v>89</v>
      </c>
      <c r="C6" s="12" t="s">
        <v>90</v>
      </c>
    </row>
    <row r="7" customFormat="false" ht="15" hidden="false" customHeight="false" outlineLevel="0" collapsed="false">
      <c r="B7" s="5" t="s">
        <v>91</v>
      </c>
      <c r="C7" s="22" t="n">
        <v>0.08</v>
      </c>
      <c r="E7" s="23" t="s">
        <v>92</v>
      </c>
    </row>
    <row r="8" customFormat="false" ht="15" hidden="false" customHeight="false" outlineLevel="0" collapsed="false">
      <c r="B8" s="5" t="s">
        <v>93</v>
      </c>
      <c r="C8" s="22" t="n">
        <v>0.06</v>
      </c>
      <c r="E8" s="23" t="s">
        <v>94</v>
      </c>
    </row>
    <row r="9" customFormat="false" ht="15" hidden="false" customHeight="false" outlineLevel="0" collapsed="false">
      <c r="B9" s="5" t="s">
        <v>95</v>
      </c>
      <c r="C9" s="22" t="n">
        <v>0.05</v>
      </c>
      <c r="E9" s="23" t="s">
        <v>96</v>
      </c>
    </row>
    <row r="10" customFormat="false" ht="15" hidden="false" customHeight="false" outlineLevel="0" collapsed="false">
      <c r="B10" s="5" t="s">
        <v>97</v>
      </c>
      <c r="C10" s="22" t="n">
        <v>0.04</v>
      </c>
      <c r="E10" s="23" t="s">
        <v>36</v>
      </c>
    </row>
    <row r="11" customFormat="false" ht="15" hidden="false" customHeight="false" outlineLevel="0" collapsed="false">
      <c r="B11" s="5" t="s">
        <v>98</v>
      </c>
      <c r="C11" s="22" t="n">
        <v>0.03</v>
      </c>
      <c r="E11" s="23" t="s">
        <v>99</v>
      </c>
    </row>
    <row r="12" customFormat="false" ht="15" hidden="false" customHeight="false" outlineLevel="0" collapsed="false">
      <c r="B12" s="24" t="s">
        <v>100</v>
      </c>
      <c r="C12" s="25" t="n">
        <f aca="false">(PRODUCT(1+C7,1+C8,1+C9,1+C10,1+C11))^(1/5)-1</f>
        <v>0.0518598949751206</v>
      </c>
    </row>
    <row r="14" customFormat="false" ht="15" hidden="false" customHeight="false" outlineLevel="0" collapsed="false">
      <c r="B14" s="4" t="s">
        <v>101</v>
      </c>
      <c r="C14" s="4"/>
      <c r="D14" s="4"/>
      <c r="E14" s="4"/>
    </row>
    <row r="15" customFormat="false" ht="15" hidden="false" customHeight="false" outlineLevel="0" collapsed="false">
      <c r="B15" s="12" t="s">
        <v>102</v>
      </c>
      <c r="C15" s="12" t="s">
        <v>103</v>
      </c>
      <c r="D15" s="12" t="s">
        <v>98</v>
      </c>
    </row>
    <row r="16" customFormat="false" ht="15" hidden="false" customHeight="false" outlineLevel="0" collapsed="false">
      <c r="B16" s="5" t="s">
        <v>69</v>
      </c>
      <c r="C16" s="22" t="n">
        <v>0.469</v>
      </c>
      <c r="D16" s="22" t="n">
        <v>0.485</v>
      </c>
      <c r="E16" s="23" t="s">
        <v>104</v>
      </c>
    </row>
    <row r="17" customFormat="false" ht="15" hidden="false" customHeight="false" outlineLevel="0" collapsed="false">
      <c r="B17" s="5" t="s">
        <v>70</v>
      </c>
      <c r="C17" s="22" t="n">
        <v>0.083</v>
      </c>
      <c r="D17" s="22" t="n">
        <v>0.085</v>
      </c>
      <c r="E17" s="23" t="s">
        <v>105</v>
      </c>
    </row>
    <row r="18" customFormat="false" ht="15" hidden="false" customHeight="false" outlineLevel="0" collapsed="false">
      <c r="B18" s="5" t="s">
        <v>71</v>
      </c>
      <c r="C18" s="22" t="n">
        <v>0.066</v>
      </c>
      <c r="D18" s="22" t="n">
        <v>0.064</v>
      </c>
      <c r="E18" s="23" t="s">
        <v>106</v>
      </c>
    </row>
    <row r="19" customFormat="false" ht="15" hidden="false" customHeight="false" outlineLevel="0" collapsed="false">
      <c r="B19" s="5" t="s">
        <v>107</v>
      </c>
      <c r="C19" s="22" t="n">
        <v>0.028</v>
      </c>
      <c r="D19" s="22" t="n">
        <v>0.03</v>
      </c>
      <c r="E19" s="23" t="s">
        <v>108</v>
      </c>
    </row>
    <row r="20" customFormat="false" ht="15" hidden="false" customHeight="false" outlineLevel="0" collapsed="false">
      <c r="B20" s="5" t="s">
        <v>109</v>
      </c>
      <c r="C20" s="22" t="n">
        <v>0.031</v>
      </c>
      <c r="D20" s="22" t="n">
        <v>0.035</v>
      </c>
      <c r="E20" s="23" t="s">
        <v>110</v>
      </c>
    </row>
    <row r="22" customFormat="false" ht="15" hidden="false" customHeight="false" outlineLevel="0" collapsed="false">
      <c r="B22" s="26" t="s">
        <v>111</v>
      </c>
      <c r="C22" s="26"/>
      <c r="D22" s="26"/>
      <c r="E22" s="26"/>
    </row>
    <row r="24" customFormat="false" ht="15" hidden="false" customHeight="false" outlineLevel="0" collapsed="false">
      <c r="B24" s="4" t="s">
        <v>112</v>
      </c>
      <c r="C24" s="4"/>
      <c r="D24" s="4"/>
      <c r="E24" s="4"/>
    </row>
    <row r="25" customFormat="false" ht="15" hidden="false" customHeight="false" outlineLevel="0" collapsed="false">
      <c r="B25" s="12" t="s">
        <v>30</v>
      </c>
      <c r="C25" s="12" t="s">
        <v>31</v>
      </c>
    </row>
    <row r="26" customFormat="false" ht="15" hidden="false" customHeight="false" outlineLevel="0" collapsed="false">
      <c r="B26" s="5" t="s">
        <v>73</v>
      </c>
      <c r="C26" s="22" t="n">
        <v>0.24</v>
      </c>
      <c r="E26" s="23" t="s">
        <v>113</v>
      </c>
    </row>
    <row r="27" customFormat="false" ht="15" hidden="false" customHeight="false" outlineLevel="0" collapsed="false">
      <c r="B27" s="5" t="s">
        <v>114</v>
      </c>
      <c r="C27" s="22" t="n">
        <v>0.02</v>
      </c>
      <c r="E27" s="23" t="s">
        <v>115</v>
      </c>
    </row>
    <row r="28" customFormat="false" ht="15" hidden="false" customHeight="false" outlineLevel="0" collapsed="false">
      <c r="B28" s="5" t="s">
        <v>116</v>
      </c>
      <c r="C28" s="27" t="n">
        <v>14770</v>
      </c>
      <c r="E28" s="23" t="s">
        <v>117</v>
      </c>
    </row>
    <row r="29" customFormat="false" ht="15" hidden="false" customHeight="false" outlineLevel="0" collapsed="false">
      <c r="B29" s="5" t="s">
        <v>26</v>
      </c>
      <c r="C29" s="28" t="n">
        <v>330</v>
      </c>
      <c r="E29" s="23" t="s">
        <v>118</v>
      </c>
    </row>
    <row r="31" customFormat="false" ht="15" hidden="false" customHeight="false" outlineLevel="0" collapsed="false">
      <c r="B31" s="4" t="s">
        <v>119</v>
      </c>
      <c r="C31" s="4"/>
      <c r="D31" s="4"/>
      <c r="E31" s="4"/>
    </row>
    <row r="32" customFormat="false" ht="15" hidden="false" customHeight="false" outlineLevel="0" collapsed="false">
      <c r="B32" s="12" t="s">
        <v>30</v>
      </c>
      <c r="C32" s="12" t="s">
        <v>31</v>
      </c>
    </row>
    <row r="33" customFormat="false" ht="15" hidden="false" customHeight="false" outlineLevel="0" collapsed="false">
      <c r="B33" s="5" t="s">
        <v>120</v>
      </c>
      <c r="C33" s="22" t="n">
        <v>0.03</v>
      </c>
      <c r="E33" s="23" t="s">
        <v>121</v>
      </c>
    </row>
    <row r="34" customFormat="false" ht="15" hidden="false" customHeight="false" outlineLevel="0" collapsed="false">
      <c r="B34" s="5" t="s">
        <v>122</v>
      </c>
      <c r="C34" s="29" t="n">
        <f aca="false">C30</f>
        <v>0</v>
      </c>
      <c r="E34" s="23" t="s">
        <v>123</v>
      </c>
    </row>
    <row r="35" customFormat="false" ht="15" hidden="false" customHeight="false" outlineLevel="0" collapsed="false">
      <c r="B35" s="5" t="s">
        <v>124</v>
      </c>
      <c r="C35" s="30" t="n">
        <v>18</v>
      </c>
      <c r="E35" s="23" t="s">
        <v>125</v>
      </c>
    </row>
    <row r="38" customFormat="false" ht="15" hidden="false" customHeight="false" outlineLevel="0" collapsed="false">
      <c r="B38" s="4" t="s">
        <v>126</v>
      </c>
      <c r="C38" s="4"/>
      <c r="D38" s="4"/>
      <c r="E38" s="4"/>
    </row>
    <row r="39" customFormat="false" ht="15" hidden="false" customHeight="false" outlineLevel="0" collapsed="false">
      <c r="B39" s="31" t="s">
        <v>127</v>
      </c>
      <c r="C39" s="32" t="s">
        <v>128</v>
      </c>
      <c r="D39" s="32"/>
      <c r="E39" s="32"/>
    </row>
    <row r="40" customFormat="false" ht="15" hidden="false" customHeight="false" outlineLevel="0" collapsed="false">
      <c r="B40" s="33" t="s">
        <v>129</v>
      </c>
      <c r="C40" s="32" t="s">
        <v>130</v>
      </c>
      <c r="D40" s="32"/>
      <c r="E40" s="32"/>
    </row>
    <row r="41" customFormat="false" ht="15" hidden="false" customHeight="false" outlineLevel="0" collapsed="false">
      <c r="B41" s="34" t="s">
        <v>131</v>
      </c>
      <c r="C41" s="32" t="s">
        <v>132</v>
      </c>
      <c r="D41" s="32"/>
      <c r="E41" s="32"/>
    </row>
    <row r="42" customFormat="false" ht="15" hidden="false" customHeight="false" outlineLevel="0" collapsed="false">
      <c r="B42" s="35" t="s">
        <v>133</v>
      </c>
      <c r="C42" s="32" t="s">
        <v>134</v>
      </c>
      <c r="D42" s="32"/>
      <c r="E42" s="32"/>
    </row>
  </sheetData>
  <mergeCells count="12">
    <mergeCell ref="B2:J2"/>
    <mergeCell ref="B3:J3"/>
    <mergeCell ref="B5:E5"/>
    <mergeCell ref="B14:E14"/>
    <mergeCell ref="B22:E22"/>
    <mergeCell ref="B24:E24"/>
    <mergeCell ref="B31:E31"/>
    <mergeCell ref="B38:E38"/>
    <mergeCell ref="C39:E39"/>
    <mergeCell ref="C40:E40"/>
    <mergeCell ref="C41:E41"/>
    <mergeCell ref="C42:E4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"/>
    <col collapsed="false" customWidth="true" hidden="false" outlineLevel="0" max="8" min="3" style="0" width="14"/>
  </cols>
  <sheetData>
    <row r="2" customFormat="false" ht="24" hidden="false" customHeight="true" outlineLevel="0" collapsed="false">
      <c r="B2" s="1" t="s">
        <v>135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136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12" t="s">
        <v>137</v>
      </c>
      <c r="C5" s="12" t="s">
        <v>103</v>
      </c>
      <c r="D5" s="12" t="s">
        <v>91</v>
      </c>
      <c r="E5" s="12" t="s">
        <v>93</v>
      </c>
      <c r="F5" s="12" t="s">
        <v>95</v>
      </c>
      <c r="G5" s="12" t="s">
        <v>97</v>
      </c>
      <c r="H5" s="12" t="s">
        <v>98</v>
      </c>
    </row>
    <row r="7" customFormat="false" ht="15" hidden="false" customHeight="false" outlineLevel="0" collapsed="false">
      <c r="B7" s="5" t="s">
        <v>58</v>
      </c>
      <c r="C7" s="36" t="n">
        <f aca="false">'2. Historical Financials'!G7</f>
        <v>416161</v>
      </c>
      <c r="D7" s="37" t="n">
        <f aca="false">C7*(1+'3. Assumptions'!C7)</f>
        <v>449453.88</v>
      </c>
      <c r="E7" s="37" t="n">
        <f aca="false">D7*(1+'3. Assumptions'!C8)</f>
        <v>476421.1128</v>
      </c>
      <c r="F7" s="37" t="n">
        <f aca="false">E7*(1+'3. Assumptions'!C9)</f>
        <v>500242.16844</v>
      </c>
      <c r="G7" s="37" t="n">
        <f aca="false">F7*(1+'3. Assumptions'!C10)</f>
        <v>520251.8551776</v>
      </c>
      <c r="H7" s="37" t="n">
        <f aca="false">G7*(1+'3. Assumptions'!C11)</f>
        <v>535859.410832928</v>
      </c>
    </row>
    <row r="8" customFormat="false" ht="15" hidden="false" customHeight="false" outlineLevel="0" collapsed="false">
      <c r="B8" s="5" t="s">
        <v>59</v>
      </c>
      <c r="C8" s="36" t="n">
        <f aca="false">'2. Historical Financials'!G8</f>
        <v>220960</v>
      </c>
      <c r="D8" s="37" t="n">
        <f aca="false">D7*(1-('3. Assumptions'!C16 + ('3. Assumptions'!D16 - '3. Assumptions'!C16) * 1/5))</f>
        <v>237221.757864</v>
      </c>
      <c r="E8" s="37" t="n">
        <f aca="false">E7*(1-('3. Assumptions'!C16 + ('3. Assumptions'!D16 - '3. Assumptions'!C16) * 2/5))</f>
        <v>249930.51577488</v>
      </c>
      <c r="F8" s="37" t="n">
        <f aca="false">F7*(1-('3. Assumptions'!C16 + ('3. Assumptions'!D16 - '3. Assumptions'!C16) * 3/5))</f>
        <v>260826.266624616</v>
      </c>
      <c r="G8" s="37" t="n">
        <f aca="false">G7*(1-('3. Assumptions'!C16 + ('3. Assumptions'!D16 - '3. Assumptions'!C16) * 4/5))</f>
        <v>269594.511353032</v>
      </c>
      <c r="H8" s="37" t="n">
        <f aca="false">H7*(1-('3. Assumptions'!C16 + ('3. Assumptions'!D16 - '3. Assumptions'!C16) * 5/5))</f>
        <v>275967.596578958</v>
      </c>
    </row>
    <row r="9" customFormat="false" ht="15" hidden="false" customHeight="false" outlineLevel="0" collapsed="false">
      <c r="B9" s="38" t="s">
        <v>60</v>
      </c>
      <c r="C9" s="39" t="n">
        <f aca="false">C7-C8</f>
        <v>195201</v>
      </c>
      <c r="D9" s="39" t="n">
        <f aca="false">D7-D8</f>
        <v>212232.122136</v>
      </c>
      <c r="E9" s="39" t="n">
        <f aca="false">E7-E8</f>
        <v>226490.59702512</v>
      </c>
      <c r="F9" s="39" t="n">
        <f aca="false">F7-F8</f>
        <v>239415.901815384</v>
      </c>
      <c r="G9" s="39" t="n">
        <f aca="false">G7-G8</f>
        <v>250657.343824568</v>
      </c>
      <c r="H9" s="39" t="n">
        <f aca="false">H7-H8</f>
        <v>259891.81425397</v>
      </c>
    </row>
    <row r="10" customFormat="false" ht="15" hidden="false" customHeight="false" outlineLevel="0" collapsed="false">
      <c r="B10" s="5" t="s">
        <v>61</v>
      </c>
      <c r="C10" s="36" t="n">
        <f aca="false">'2. Historical Financials'!G9</f>
        <v>195201</v>
      </c>
      <c r="D10" s="37" t="n">
        <f aca="false">D7*('3. Assumptions'!C17 + ('3. Assumptions'!D17 - '3. Assumptions'!C17) * 1/5)</f>
        <v>37484.453592</v>
      </c>
      <c r="E10" s="37" t="n">
        <f aca="false">E7*('3. Assumptions'!C17 + ('3. Assumptions'!D17 - '3. Assumptions'!C17) * 2/5)</f>
        <v>39924.08925264</v>
      </c>
      <c r="F10" s="37" t="n">
        <f aca="false">F7*('3. Assumptions'!C17 + ('3. Assumptions'!D17 - '3. Assumptions'!C17) * 3/5)</f>
        <v>42120.390582648</v>
      </c>
      <c r="G10" s="37" t="n">
        <f aca="false">G7*('3. Assumptions'!C17 + ('3. Assumptions'!D17 - '3. Assumptions'!C17) * 4/5)</f>
        <v>44013.306948025</v>
      </c>
      <c r="H10" s="37" t="n">
        <f aca="false">H7*('3. Assumptions'!C17 + ('3. Assumptions'!D17 - '3. Assumptions'!C17) * 5/5)</f>
        <v>45548.0499207989</v>
      </c>
    </row>
    <row r="11" customFormat="false" ht="15" hidden="false" customHeight="false" outlineLevel="0" collapsed="false">
      <c r="B11" s="5" t="s">
        <v>62</v>
      </c>
      <c r="C11" s="36" t="n">
        <f aca="false">'2. Historical Financials'!G10</f>
        <v>34550</v>
      </c>
      <c r="D11" s="37" t="n">
        <f aca="false">D7*('3. Assumptions'!C18 + ('3. Assumptions'!D18 - '3. Assumptions'!C18) * 1/5)</f>
        <v>29484.174528</v>
      </c>
      <c r="E11" s="37" t="n">
        <f aca="false">E7*('3. Assumptions'!C18 + ('3. Assumptions'!D18 - '3. Assumptions'!C18) * 2/5)</f>
        <v>31062.65655456</v>
      </c>
      <c r="F11" s="37" t="n">
        <f aca="false">F7*('3. Assumptions'!C18 + ('3. Assumptions'!D18 - '3. Assumptions'!C18) * 3/5)</f>
        <v>32415.692514912</v>
      </c>
      <c r="G11" s="37" t="n">
        <f aca="false">G7*('3. Assumptions'!C18 + ('3. Assumptions'!D18 - '3. Assumptions'!C18) * 4/5)</f>
        <v>33504.2194734374</v>
      </c>
      <c r="H11" s="37" t="n">
        <f aca="false">H7*('3. Assumptions'!C18 + ('3. Assumptions'!D18 - '3. Assumptions'!C18) * 5/5)</f>
        <v>34295.0022933074</v>
      </c>
    </row>
    <row r="12" customFormat="false" ht="15" hidden="false" customHeight="false" outlineLevel="0" collapsed="false">
      <c r="B12" s="5" t="s">
        <v>138</v>
      </c>
      <c r="C12" s="36" t="n">
        <f aca="false">'2. Historical Financials'!G33</f>
        <v>11698</v>
      </c>
      <c r="D12" s="37" t="n">
        <f aca="false">D7*('3. Assumptions'!C19 + ('3. Assumptions'!D19 - '3. Assumptions'!C19) * 1/5)</f>
        <v>12764.490192</v>
      </c>
      <c r="E12" s="37" t="n">
        <f aca="false">E7*('3. Assumptions'!C19 + ('3. Assumptions'!D19 - '3. Assumptions'!C19) * 2/5)</f>
        <v>13720.92804864</v>
      </c>
      <c r="F12" s="37" t="n">
        <f aca="false">F7*('3. Assumptions'!C19 + ('3. Assumptions'!D19 - '3. Assumptions'!C19) * 3/5)</f>
        <v>14607.071318448</v>
      </c>
      <c r="G12" s="37" t="n">
        <f aca="false">G7*('3. Assumptions'!C19 + ('3. Assumptions'!D19 - '3. Assumptions'!C19) * 4/5)</f>
        <v>15399.454913257</v>
      </c>
      <c r="H12" s="37" t="n">
        <f aca="false">H7*('3. Assumptions'!C19 + ('3. Assumptions'!D19 - '3. Assumptions'!C19) * 5/5)</f>
        <v>16075.7823249878</v>
      </c>
    </row>
    <row r="13" customFormat="false" ht="15" hidden="false" customHeight="false" outlineLevel="0" collapsed="false">
      <c r="B13" s="5" t="s">
        <v>139</v>
      </c>
      <c r="C13" s="36" t="n">
        <f aca="false">'2. Historical Financials'!G34</f>
        <v>12715</v>
      </c>
      <c r="D13" s="37" t="n">
        <f aca="false">D7*('3. Assumptions'!C20 + ('3. Assumptions'!D20 - '3. Assumptions'!C20) * 1/5)</f>
        <v>14292.633384</v>
      </c>
      <c r="E13" s="37" t="n">
        <f aca="false">E7*('3. Assumptions'!C20 + ('3. Assumptions'!D20 - '3. Assumptions'!C20) * 2/5)</f>
        <v>15531.32827728</v>
      </c>
      <c r="F13" s="37" t="n">
        <f aca="false">F7*('3. Assumptions'!C20 + ('3. Assumptions'!D20 - '3. Assumptions'!C20) * 3/5)</f>
        <v>16708.088425896</v>
      </c>
      <c r="G13" s="37" t="n">
        <f aca="false">G7*('3. Assumptions'!C20 + ('3. Assumptions'!D20 - '3. Assumptions'!C20) * 4/5)</f>
        <v>17792.6134470739</v>
      </c>
      <c r="H13" s="37" t="n">
        <f aca="false">H7*('3. Assumptions'!C20 + ('3. Assumptions'!D20 - '3. Assumptions'!C20) * 5/5)</f>
        <v>18755.0793791525</v>
      </c>
    </row>
    <row r="15" customFormat="false" ht="15" hidden="false" customHeight="false" outlineLevel="0" collapsed="false">
      <c r="B15" s="40" t="s">
        <v>64</v>
      </c>
      <c r="C15" s="41" t="n">
        <f aca="false">C9-C10-C11</f>
        <v>-34550</v>
      </c>
      <c r="D15" s="41" t="n">
        <f aca="false">D9-D10-D11</f>
        <v>145263.494016</v>
      </c>
      <c r="E15" s="41" t="n">
        <f aca="false">E9-E10-E11</f>
        <v>155503.85121792</v>
      </c>
      <c r="F15" s="41" t="n">
        <f aca="false">F9-F10-F11</f>
        <v>164879.818717824</v>
      </c>
      <c r="G15" s="41" t="n">
        <f aca="false">G9-G10-G11</f>
        <v>173139.817403105</v>
      </c>
      <c r="H15" s="41" t="n">
        <f aca="false">H9-H10-H11</f>
        <v>180048.762039864</v>
      </c>
    </row>
    <row r="16" customFormat="false" ht="15" hidden="false" customHeight="false" outlineLevel="0" collapsed="false">
      <c r="B16" s="38" t="s">
        <v>140</v>
      </c>
      <c r="C16" s="39" t="n">
        <f aca="false">C15+C12</f>
        <v>-22852</v>
      </c>
      <c r="D16" s="39" t="n">
        <f aca="false">D15+D12</f>
        <v>158027.984208</v>
      </c>
      <c r="E16" s="39" t="n">
        <f aca="false">E15+E12</f>
        <v>169224.77926656</v>
      </c>
      <c r="F16" s="39" t="n">
        <f aca="false">F15+F12</f>
        <v>179486.890036272</v>
      </c>
      <c r="G16" s="39" t="n">
        <f aca="false">G15+G12</f>
        <v>188539.272316362</v>
      </c>
      <c r="H16" s="39" t="n">
        <f aca="false">H15+H12</f>
        <v>196124.544364852</v>
      </c>
    </row>
    <row r="18" customFormat="false" ht="15" hidden="false" customHeight="false" outlineLevel="0" collapsed="false">
      <c r="B18" s="5" t="s">
        <v>65</v>
      </c>
      <c r="C18" s="36" t="n">
        <f aca="false">'2. Historical Financials'!G13</f>
        <v>133050</v>
      </c>
      <c r="D18" s="37" t="n">
        <f aca="false">D15*'3. Assumptions'!C26</f>
        <v>34863.23856384</v>
      </c>
      <c r="E18" s="37" t="n">
        <f aca="false">E15*'3. Assumptions'!C26</f>
        <v>37320.9242923008</v>
      </c>
      <c r="F18" s="37" t="n">
        <f aca="false">F15*'3. Assumptions'!C26</f>
        <v>39571.1564922778</v>
      </c>
      <c r="G18" s="37" t="n">
        <f aca="false">G15*'3. Assumptions'!C26</f>
        <v>41553.5561767453</v>
      </c>
      <c r="H18" s="37" t="n">
        <f aca="false">H15*'3. Assumptions'!C26</f>
        <v>43211.7028895673</v>
      </c>
    </row>
    <row r="19" customFormat="false" ht="15" hidden="false" customHeight="false" outlineLevel="0" collapsed="false">
      <c r="B19" s="40" t="s">
        <v>66</v>
      </c>
      <c r="C19" s="41" t="n">
        <f aca="false">C15-C18</f>
        <v>-167600</v>
      </c>
      <c r="D19" s="41" t="n">
        <f aca="false">D15-D18</f>
        <v>110400.25545216</v>
      </c>
      <c r="E19" s="41" t="n">
        <f aca="false">E15-E18</f>
        <v>118182.926925619</v>
      </c>
      <c r="F19" s="41" t="n">
        <f aca="false">F15-F18</f>
        <v>125308.662225546</v>
      </c>
      <c r="G19" s="41" t="n">
        <f aca="false">G15-G18</f>
        <v>131586.26122636</v>
      </c>
      <c r="H19" s="41" t="n">
        <f aca="false">H15-H18</f>
        <v>136837.059150297</v>
      </c>
    </row>
    <row r="21" customFormat="false" ht="15" hidden="false" customHeight="false" outlineLevel="0" collapsed="false">
      <c r="B21" s="4" t="s">
        <v>141</v>
      </c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B22" s="12" t="s">
        <v>142</v>
      </c>
      <c r="C22" s="12" t="s">
        <v>103</v>
      </c>
      <c r="D22" s="12" t="s">
        <v>91</v>
      </c>
      <c r="E22" s="12" t="s">
        <v>93</v>
      </c>
      <c r="F22" s="12" t="s">
        <v>95</v>
      </c>
      <c r="G22" s="12" t="s">
        <v>97</v>
      </c>
      <c r="H22" s="12" t="s">
        <v>98</v>
      </c>
    </row>
    <row r="23" customFormat="false" ht="15" hidden="false" customHeight="false" outlineLevel="0" collapsed="false">
      <c r="B23" s="5" t="s">
        <v>69</v>
      </c>
      <c r="C23" s="42" t="n">
        <f aca="false">C9/C7</f>
        <v>0.469051641071605</v>
      </c>
      <c r="D23" s="42" t="n">
        <f aca="false">D9/D7</f>
        <v>0.4722</v>
      </c>
      <c r="E23" s="42" t="n">
        <f aca="false">E9/E7</f>
        <v>0.4754</v>
      </c>
      <c r="F23" s="42" t="n">
        <f aca="false">F9/F7</f>
        <v>0.4786</v>
      </c>
      <c r="G23" s="42" t="n">
        <f aca="false">G9/G7</f>
        <v>0.4818</v>
      </c>
      <c r="H23" s="42" t="n">
        <f aca="false">H9/H7</f>
        <v>0.485</v>
      </c>
    </row>
    <row r="24" customFormat="false" ht="15" hidden="false" customHeight="false" outlineLevel="0" collapsed="false">
      <c r="B24" s="5" t="s">
        <v>143</v>
      </c>
      <c r="C24" s="42" t="n">
        <f aca="false">C10/C7</f>
        <v>0.469051641071605</v>
      </c>
      <c r="D24" s="42" t="n">
        <f aca="false">D10/D7</f>
        <v>0.0834</v>
      </c>
      <c r="E24" s="42" t="n">
        <f aca="false">E10/E7</f>
        <v>0.0838</v>
      </c>
      <c r="F24" s="42" t="n">
        <f aca="false">F10/F7</f>
        <v>0.0842</v>
      </c>
      <c r="G24" s="42" t="n">
        <f aca="false">G10/G7</f>
        <v>0.0846</v>
      </c>
      <c r="H24" s="42" t="n">
        <f aca="false">H10/H7</f>
        <v>0.085</v>
      </c>
    </row>
    <row r="25" customFormat="false" ht="15" hidden="false" customHeight="false" outlineLevel="0" collapsed="false">
      <c r="B25" s="5" t="s">
        <v>144</v>
      </c>
      <c r="C25" s="42" t="n">
        <f aca="false">C11/C7</f>
        <v>0.0830207539870387</v>
      </c>
      <c r="D25" s="42" t="n">
        <f aca="false">D11/D7</f>
        <v>0.0656</v>
      </c>
      <c r="E25" s="42" t="n">
        <f aca="false">E11/E7</f>
        <v>0.0652</v>
      </c>
      <c r="F25" s="42" t="n">
        <f aca="false">F11/F7</f>
        <v>0.0648</v>
      </c>
      <c r="G25" s="42" t="n">
        <f aca="false">G11/G7</f>
        <v>0.0644</v>
      </c>
      <c r="H25" s="42" t="n">
        <f aca="false">H11/H7</f>
        <v>0.064</v>
      </c>
    </row>
    <row r="26" customFormat="false" ht="15" hidden="false" customHeight="false" outlineLevel="0" collapsed="false">
      <c r="B26" s="5" t="s">
        <v>72</v>
      </c>
      <c r="C26" s="42" t="n">
        <f aca="false">C15/C7</f>
        <v>-0.0830207539870387</v>
      </c>
      <c r="D26" s="42" t="n">
        <f aca="false">D15/D7</f>
        <v>0.3232</v>
      </c>
      <c r="E26" s="42" t="n">
        <f aca="false">E15/E7</f>
        <v>0.3264</v>
      </c>
      <c r="F26" s="42" t="n">
        <f aca="false">F15/F7</f>
        <v>0.3296</v>
      </c>
      <c r="G26" s="42" t="n">
        <f aca="false">G15/G7</f>
        <v>0.3328</v>
      </c>
      <c r="H26" s="42" t="n">
        <f aca="false">H15/H7</f>
        <v>0.336</v>
      </c>
    </row>
    <row r="27" customFormat="false" ht="15" hidden="false" customHeight="false" outlineLevel="0" collapsed="false">
      <c r="B27" s="5" t="s">
        <v>145</v>
      </c>
      <c r="C27" s="42" t="n">
        <f aca="false">C16/C7</f>
        <v>-0.0549114405242202</v>
      </c>
      <c r="D27" s="42" t="n">
        <f aca="false">D16/D7</f>
        <v>0.3516</v>
      </c>
      <c r="E27" s="42" t="n">
        <f aca="false">E16/E7</f>
        <v>0.3552</v>
      </c>
      <c r="F27" s="42" t="n">
        <f aca="false">F16/F7</f>
        <v>0.3588</v>
      </c>
      <c r="G27" s="42" t="n">
        <f aca="false">G16/G7</f>
        <v>0.3624</v>
      </c>
      <c r="H27" s="42" t="n">
        <f aca="false">H16/H7</f>
        <v>0.366</v>
      </c>
    </row>
    <row r="28" customFormat="false" ht="15" hidden="false" customHeight="false" outlineLevel="0" collapsed="false">
      <c r="B28" s="5" t="s">
        <v>74</v>
      </c>
      <c r="C28" s="42" t="n">
        <f aca="false">C19/C7</f>
        <v>-0.402728751612957</v>
      </c>
      <c r="D28" s="42" t="n">
        <f aca="false">D19/D7</f>
        <v>0.245632</v>
      </c>
      <c r="E28" s="42" t="n">
        <f aca="false">E19/E7</f>
        <v>0.248064</v>
      </c>
      <c r="F28" s="42" t="n">
        <f aca="false">F19/F7</f>
        <v>0.250496</v>
      </c>
      <c r="G28" s="42" t="n">
        <f aca="false">G19/G7</f>
        <v>0.252928</v>
      </c>
      <c r="H28" s="42" t="n">
        <f aca="false">H19/H7</f>
        <v>0.25536</v>
      </c>
    </row>
  </sheetData>
  <mergeCells count="3">
    <mergeCell ref="B2:J2"/>
    <mergeCell ref="B3:J3"/>
    <mergeCell ref="B21:H2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"/>
    <col collapsed="false" customWidth="true" hidden="false" outlineLevel="0" max="8" min="3" style="0" width="14"/>
  </cols>
  <sheetData>
    <row r="2" customFormat="false" ht="24" hidden="false" customHeight="true" outlineLevel="0" collapsed="false">
      <c r="B2" s="1" t="s">
        <v>146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147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12" t="s">
        <v>148</v>
      </c>
      <c r="C5" s="12" t="s">
        <v>103</v>
      </c>
      <c r="D5" s="12" t="s">
        <v>91</v>
      </c>
      <c r="E5" s="12" t="s">
        <v>93</v>
      </c>
      <c r="F5" s="12" t="s">
        <v>95</v>
      </c>
      <c r="G5" s="12" t="s">
        <v>97</v>
      </c>
      <c r="H5" s="12" t="s">
        <v>98</v>
      </c>
    </row>
    <row r="7" customFormat="false" ht="15" hidden="false" customHeight="false" outlineLevel="0" collapsed="false">
      <c r="B7" s="5" t="s">
        <v>149</v>
      </c>
      <c r="C7" s="36" t="n">
        <f aca="false">'4. Income Statement'!C15</f>
        <v>-34550</v>
      </c>
      <c r="D7" s="36" t="n">
        <f aca="false">'4. Income Statement'!D15</f>
        <v>145263.494016</v>
      </c>
      <c r="E7" s="36" t="n">
        <f aca="false">'4. Income Statement'!E15</f>
        <v>155503.85121792</v>
      </c>
      <c r="F7" s="36" t="n">
        <f aca="false">'4. Income Statement'!F15</f>
        <v>164879.818717824</v>
      </c>
      <c r="G7" s="36" t="n">
        <f aca="false">'4. Income Statement'!G15</f>
        <v>173139.817403105</v>
      </c>
      <c r="H7" s="36" t="n">
        <f aca="false">'4. Income Statement'!H15</f>
        <v>180048.762039864</v>
      </c>
    </row>
    <row r="8" customFormat="false" ht="15" hidden="false" customHeight="false" outlineLevel="0" collapsed="false">
      <c r="B8" s="5" t="s">
        <v>150</v>
      </c>
      <c r="C8" s="14" t="n">
        <f aca="false">'3. Assumptions'!$C$26</f>
        <v>0.24</v>
      </c>
      <c r="D8" s="14" t="n">
        <f aca="false">'3. Assumptions'!$C$26</f>
        <v>0.24</v>
      </c>
      <c r="E8" s="14" t="n">
        <f aca="false">'3. Assumptions'!$C$26</f>
        <v>0.24</v>
      </c>
      <c r="F8" s="14" t="n">
        <f aca="false">'3. Assumptions'!$C$26</f>
        <v>0.24</v>
      </c>
      <c r="G8" s="14" t="n">
        <f aca="false">'3. Assumptions'!$C$26</f>
        <v>0.24</v>
      </c>
      <c r="H8" s="14" t="n">
        <f aca="false">'3. Assumptions'!$C$26</f>
        <v>0.24</v>
      </c>
    </row>
    <row r="9" customFormat="false" ht="15" hidden="false" customHeight="false" outlineLevel="0" collapsed="false">
      <c r="B9" s="38" t="s">
        <v>151</v>
      </c>
      <c r="C9" s="39" t="n">
        <f aca="false">C7*(1-C8)</f>
        <v>-26258</v>
      </c>
      <c r="D9" s="39" t="n">
        <f aca="false">D7*(1-D8)</f>
        <v>110400.25545216</v>
      </c>
      <c r="E9" s="39" t="n">
        <f aca="false">E7*(1-E8)</f>
        <v>118182.926925619</v>
      </c>
      <c r="F9" s="39" t="n">
        <f aca="false">F7*(1-F8)</f>
        <v>125308.662225546</v>
      </c>
      <c r="G9" s="39" t="n">
        <f aca="false">G7*(1-G8)</f>
        <v>131586.26122636</v>
      </c>
      <c r="H9" s="39" t="n">
        <f aca="false">H7*(1-H8)</f>
        <v>136837.059150297</v>
      </c>
    </row>
    <row r="10" customFormat="false" ht="15" hidden="false" customHeight="false" outlineLevel="0" collapsed="false">
      <c r="B10" s="5" t="s">
        <v>81</v>
      </c>
      <c r="C10" s="36" t="n">
        <f aca="false">'4. Income Statement'!C12</f>
        <v>11698</v>
      </c>
      <c r="D10" s="36" t="n">
        <f aca="false">'4. Income Statement'!D12</f>
        <v>12764.490192</v>
      </c>
      <c r="E10" s="36" t="n">
        <f aca="false">'4. Income Statement'!E12</f>
        <v>13720.92804864</v>
      </c>
      <c r="F10" s="36" t="n">
        <f aca="false">'4. Income Statement'!F12</f>
        <v>14607.071318448</v>
      </c>
      <c r="G10" s="36" t="n">
        <f aca="false">'4. Income Statement'!G12</f>
        <v>15399.454913257</v>
      </c>
      <c r="H10" s="36" t="n">
        <f aca="false">'4. Income Statement'!H12</f>
        <v>16075.7823249878</v>
      </c>
    </row>
    <row r="11" customFormat="false" ht="15" hidden="false" customHeight="false" outlineLevel="0" collapsed="false">
      <c r="B11" s="5" t="s">
        <v>82</v>
      </c>
      <c r="C11" s="36" t="n">
        <f aca="false">'4. Income Statement'!C13</f>
        <v>12715</v>
      </c>
      <c r="D11" s="36" t="n">
        <f aca="false">'4. Income Statement'!D13</f>
        <v>14292.633384</v>
      </c>
      <c r="E11" s="36" t="n">
        <f aca="false">'4. Income Statement'!E13</f>
        <v>15531.32827728</v>
      </c>
      <c r="F11" s="36" t="n">
        <f aca="false">'4. Income Statement'!F13</f>
        <v>16708.088425896</v>
      </c>
      <c r="G11" s="36" t="n">
        <f aca="false">'4. Income Statement'!G13</f>
        <v>17792.6134470739</v>
      </c>
      <c r="H11" s="36" t="n">
        <f aca="false">'4. Income Statement'!H13</f>
        <v>18755.0793791525</v>
      </c>
    </row>
    <row r="12" customFormat="false" ht="15" hidden="false" customHeight="false" outlineLevel="0" collapsed="false">
      <c r="B12" s="5" t="s">
        <v>152</v>
      </c>
      <c r="C12" s="17" t="n">
        <v>0</v>
      </c>
      <c r="D12" s="37" t="n">
        <f aca="false">(D7-'4. Income Statement'!C7)*'3. Assumptions'!$C$27</f>
        <v>-5417.95011968</v>
      </c>
      <c r="E12" s="37" t="n">
        <f aca="false">(E7-'4. Income Statement'!D7)*'3. Assumptions'!$C$27</f>
        <v>-5879.0005756416</v>
      </c>
      <c r="F12" s="37" t="n">
        <f aca="false">(F7-'4. Income Statement'!E7)*'3. Assumptions'!$C$27</f>
        <v>-6230.82588164352</v>
      </c>
      <c r="G12" s="37" t="n">
        <f aca="false">(G7-'4. Income Statement'!F7)*'3. Assumptions'!$C$27</f>
        <v>-6542.0470207379</v>
      </c>
      <c r="H12" s="37" t="n">
        <f aca="false">(H7-'4. Income Statement'!G7)*'3. Assumptions'!$C$27</f>
        <v>-6804.06186275472</v>
      </c>
    </row>
    <row r="14" customFormat="false" ht="15" hidden="false" customHeight="false" outlineLevel="0" collapsed="false">
      <c r="B14" s="43" t="s">
        <v>153</v>
      </c>
      <c r="C14" s="44" t="n">
        <f aca="false">C9+C10-C11-C12</f>
        <v>-27275</v>
      </c>
      <c r="D14" s="44" t="n">
        <f aca="false">D9+D10-D11-D12</f>
        <v>114290.06237984</v>
      </c>
      <c r="E14" s="44" t="n">
        <f aca="false">E9+E10-E11-E12</f>
        <v>122251.527272621</v>
      </c>
      <c r="F14" s="44" t="n">
        <f aca="false">F9+F10-F11-F12</f>
        <v>129438.470999742</v>
      </c>
      <c r="G14" s="44" t="n">
        <f aca="false">G9+G10-G11-G12</f>
        <v>135735.149713281</v>
      </c>
      <c r="H14" s="44" t="n">
        <f aca="false">H9+H10-H11-H12</f>
        <v>140961.823958887</v>
      </c>
    </row>
    <row r="16" customFormat="false" ht="15" hidden="false" customHeight="false" outlineLevel="0" collapsed="false">
      <c r="B16" s="5" t="s">
        <v>154</v>
      </c>
      <c r="C16" s="42" t="n">
        <f aca="false">C14/'4. Income Statement'!C7</f>
        <v>-0.0655395387842686</v>
      </c>
      <c r="D16" s="42" t="n">
        <f aca="false">D14/'4. Income Statement'!D7</f>
        <v>0.254286518518518</v>
      </c>
      <c r="E16" s="42" t="n">
        <f aca="false">E14/'4. Income Statement'!E7</f>
        <v>0.256603924528302</v>
      </c>
      <c r="F16" s="42" t="n">
        <f aca="false">F14/'4. Income Statement'!F7</f>
        <v>0.258751619047619</v>
      </c>
      <c r="G16" s="42" t="n">
        <f aca="false">G14/'4. Income Statement'!G7</f>
        <v>0.260902769230769</v>
      </c>
      <c r="H16" s="42" t="n">
        <f aca="false">H14/'4. Income Statement'!H7</f>
        <v>0.263057475728155</v>
      </c>
    </row>
    <row r="18" customFormat="false" ht="15" hidden="false" customHeight="false" outlineLevel="0" collapsed="false">
      <c r="B18" s="4" t="s">
        <v>155</v>
      </c>
      <c r="C18" s="4"/>
      <c r="D18" s="4"/>
      <c r="E18" s="4"/>
      <c r="F18" s="4"/>
      <c r="G18" s="4"/>
      <c r="H18" s="4"/>
    </row>
    <row r="19" customFormat="false" ht="15" hidden="false" customHeight="false" outlineLevel="0" collapsed="false">
      <c r="B19" s="12" t="s">
        <v>156</v>
      </c>
      <c r="C19" s="12" t="s">
        <v>103</v>
      </c>
      <c r="D19" s="12" t="s">
        <v>91</v>
      </c>
      <c r="E19" s="12" t="s">
        <v>93</v>
      </c>
      <c r="F19" s="12" t="s">
        <v>95</v>
      </c>
      <c r="G19" s="12" t="s">
        <v>97</v>
      </c>
      <c r="H19" s="12" t="s">
        <v>98</v>
      </c>
    </row>
    <row r="20" customFormat="false" ht="15" hidden="false" customHeight="false" outlineLevel="0" collapsed="false">
      <c r="B20" s="5" t="s">
        <v>40</v>
      </c>
      <c r="C20" s="16" t="n">
        <f aca="false">'6. WACC'!$E$18</f>
        <v>0</v>
      </c>
      <c r="D20" s="16" t="n">
        <f aca="false">'6. WACC'!$E$18</f>
        <v>0</v>
      </c>
      <c r="E20" s="16" t="n">
        <f aca="false">'6. WACC'!$E$18</f>
        <v>0</v>
      </c>
      <c r="F20" s="16" t="n">
        <f aca="false">'6. WACC'!$E$18</f>
        <v>0</v>
      </c>
      <c r="G20" s="16" t="n">
        <f aca="false">'6. WACC'!$E$18</f>
        <v>0</v>
      </c>
      <c r="H20" s="16" t="n">
        <f aca="false">'6. WACC'!$E$18</f>
        <v>0</v>
      </c>
    </row>
    <row r="21" customFormat="false" ht="15" hidden="false" customHeight="false" outlineLevel="0" collapsed="false">
      <c r="B21" s="5" t="s">
        <v>157</v>
      </c>
      <c r="C21" s="45" t="n">
        <v>0</v>
      </c>
      <c r="D21" s="45" t="n">
        <v>1</v>
      </c>
      <c r="E21" s="45" t="n">
        <v>2</v>
      </c>
      <c r="F21" s="45" t="n">
        <v>3</v>
      </c>
      <c r="G21" s="45" t="n">
        <v>4</v>
      </c>
      <c r="H21" s="45" t="n">
        <v>5</v>
      </c>
    </row>
    <row r="22" customFormat="false" ht="15" hidden="false" customHeight="false" outlineLevel="0" collapsed="false">
      <c r="B22" s="5" t="s">
        <v>158</v>
      </c>
      <c r="C22" s="46" t="n">
        <v>1</v>
      </c>
      <c r="D22" s="46" t="n">
        <f aca="false">1/(1+D20)^D21</f>
        <v>1</v>
      </c>
      <c r="E22" s="46" t="n">
        <f aca="false">1/(1+E20)^E21</f>
        <v>1</v>
      </c>
      <c r="F22" s="46" t="n">
        <f aca="false">1/(1+F20)^F21</f>
        <v>1</v>
      </c>
      <c r="G22" s="46" t="n">
        <f aca="false">1/(1+G20)^G21</f>
        <v>1</v>
      </c>
      <c r="H22" s="46" t="n">
        <f aca="false">1/(1+H20)^H21</f>
        <v>1</v>
      </c>
    </row>
    <row r="24" customFormat="false" ht="15" hidden="false" customHeight="false" outlineLevel="0" collapsed="false">
      <c r="B24" s="40" t="s">
        <v>159</v>
      </c>
      <c r="C24" s="47" t="n">
        <v>0</v>
      </c>
      <c r="D24" s="41" t="n">
        <f aca="false">D14*D22</f>
        <v>114290.06237984</v>
      </c>
      <c r="E24" s="41" t="n">
        <f aca="false">E14*E22</f>
        <v>122251.527272621</v>
      </c>
      <c r="F24" s="41" t="n">
        <f aca="false">F14*F22</f>
        <v>129438.470999742</v>
      </c>
      <c r="G24" s="41" t="n">
        <f aca="false">G14*G22</f>
        <v>135735.149713281</v>
      </c>
      <c r="H24" s="41" t="n">
        <f aca="false">H14*H22</f>
        <v>140961.823958887</v>
      </c>
    </row>
    <row r="26" customFormat="false" ht="15" hidden="false" customHeight="false" outlineLevel="0" collapsed="false">
      <c r="B26" s="48" t="s">
        <v>160</v>
      </c>
      <c r="C26" s="48"/>
      <c r="D26" s="48"/>
      <c r="E26" s="48"/>
      <c r="F26" s="44" t="n">
        <f aca="false">SUM(D24:H24)</f>
        <v>642677.03432437</v>
      </c>
    </row>
  </sheetData>
  <mergeCells count="4">
    <mergeCell ref="B2:J2"/>
    <mergeCell ref="B3:J3"/>
    <mergeCell ref="B18:H18"/>
    <mergeCell ref="B26:E26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"/>
    <col collapsed="false" customWidth="true" hidden="false" outlineLevel="0" max="5" min="3" style="0" width="16"/>
    <col collapsed="false" customWidth="true" hidden="false" outlineLevel="0" max="6" min="6" style="0" width="40"/>
    <col collapsed="false" customWidth="true" hidden="true" outlineLevel="0" max="10" min="10" style="0" width="13"/>
  </cols>
  <sheetData>
    <row r="1" customFormat="false" ht="15" hidden="false" customHeight="false" outlineLevel="0" collapsed="false">
      <c r="J1" s="49" t="n">
        <f aca="false">E26</f>
        <v>0.0937154279464239</v>
      </c>
    </row>
    <row r="2" customFormat="false" ht="24" hidden="false" customHeight="true" outlineLevel="0" collapsed="false">
      <c r="B2" s="1" t="s">
        <v>161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162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4" t="s">
        <v>163</v>
      </c>
      <c r="C5" s="4"/>
      <c r="D5" s="4"/>
      <c r="E5" s="4"/>
      <c r="F5" s="4"/>
    </row>
    <row r="6" customFormat="false" ht="15" hidden="false" customHeight="false" outlineLevel="0" collapsed="false">
      <c r="B6" s="12" t="s">
        <v>164</v>
      </c>
      <c r="C6" s="12" t="s">
        <v>31</v>
      </c>
      <c r="D6" s="12" t="s">
        <v>165</v>
      </c>
      <c r="E6" s="12"/>
      <c r="F6" s="12"/>
    </row>
    <row r="7" customFormat="false" ht="15" hidden="false" customHeight="false" outlineLevel="0" collapsed="false">
      <c r="B7" s="5" t="s">
        <v>166</v>
      </c>
      <c r="C7" s="29" t="n">
        <v>0.041</v>
      </c>
      <c r="D7" s="15" t="s">
        <v>167</v>
      </c>
      <c r="E7" s="15"/>
      <c r="F7" s="15"/>
    </row>
    <row r="8" customFormat="false" ht="15" hidden="false" customHeight="false" outlineLevel="0" collapsed="false">
      <c r="B8" s="5" t="s">
        <v>168</v>
      </c>
      <c r="C8" s="29" t="n">
        <v>0.045</v>
      </c>
      <c r="D8" s="15" t="s">
        <v>169</v>
      </c>
      <c r="E8" s="15"/>
      <c r="F8" s="15"/>
    </row>
    <row r="9" customFormat="false" ht="15" hidden="false" customHeight="false" outlineLevel="0" collapsed="false">
      <c r="B9" s="5" t="s">
        <v>170</v>
      </c>
      <c r="C9" s="30" t="n">
        <v>1.2</v>
      </c>
      <c r="D9" s="15" t="s">
        <v>171</v>
      </c>
      <c r="E9" s="15"/>
      <c r="F9" s="15"/>
    </row>
    <row r="10" customFormat="false" ht="15" hidden="false" customHeight="false" outlineLevel="0" collapsed="false">
      <c r="B10" s="40" t="s">
        <v>172</v>
      </c>
      <c r="C10" s="50" t="n">
        <f aca="false">C7+C9*C8</f>
        <v>0.095</v>
      </c>
      <c r="E10" s="21" t="s">
        <v>173</v>
      </c>
    </row>
    <row r="12" customFormat="false" ht="15" hidden="false" customHeight="false" outlineLevel="0" collapsed="false">
      <c r="B12" s="4" t="s">
        <v>174</v>
      </c>
      <c r="C12" s="4"/>
      <c r="D12" s="4"/>
      <c r="E12" s="4"/>
      <c r="F12" s="4"/>
    </row>
    <row r="13" customFormat="false" ht="15" hidden="false" customHeight="false" outlineLevel="0" collapsed="false">
      <c r="B13" s="12" t="s">
        <v>164</v>
      </c>
      <c r="C13" s="12" t="s">
        <v>31</v>
      </c>
      <c r="D13" s="12" t="s">
        <v>165</v>
      </c>
      <c r="E13" s="12"/>
      <c r="F13" s="12"/>
    </row>
    <row r="14" customFormat="false" ht="15" hidden="false" customHeight="false" outlineLevel="0" collapsed="false">
      <c r="B14" s="5" t="s">
        <v>175</v>
      </c>
      <c r="C14" s="29" t="n">
        <v>0.05</v>
      </c>
      <c r="D14" s="15" t="s">
        <v>176</v>
      </c>
      <c r="E14" s="15"/>
      <c r="F14" s="15"/>
    </row>
    <row r="15" customFormat="false" ht="15" hidden="false" customHeight="false" outlineLevel="0" collapsed="false">
      <c r="B15" s="5" t="s">
        <v>150</v>
      </c>
      <c r="C15" s="14" t="n">
        <f aca="false">'3. Assumptions'!C26</f>
        <v>0.24</v>
      </c>
      <c r="D15" s="15" t="s">
        <v>177</v>
      </c>
      <c r="E15" s="15"/>
      <c r="F15" s="15"/>
    </row>
    <row r="16" customFormat="false" ht="15" hidden="false" customHeight="false" outlineLevel="0" collapsed="false">
      <c r="B16" s="40" t="s">
        <v>178</v>
      </c>
      <c r="C16" s="50" t="n">
        <f aca="false">C14*(1-C15)</f>
        <v>0.038</v>
      </c>
    </row>
    <row r="18" customFormat="false" ht="15" hidden="false" customHeight="false" outlineLevel="0" collapsed="false">
      <c r="B18" s="4" t="s">
        <v>179</v>
      </c>
      <c r="C18" s="4"/>
      <c r="D18" s="4"/>
      <c r="E18" s="4"/>
      <c r="F18" s="4"/>
    </row>
    <row r="19" customFormat="false" ht="15" hidden="false" customHeight="false" outlineLevel="0" collapsed="false">
      <c r="B19" s="4" t="s">
        <v>180</v>
      </c>
      <c r="C19" s="4"/>
      <c r="D19" s="4"/>
      <c r="E19" s="4"/>
      <c r="F19" s="4"/>
    </row>
    <row r="20" customFormat="false" ht="15" hidden="false" customHeight="false" outlineLevel="0" collapsed="false">
      <c r="B20" s="12" t="s">
        <v>164</v>
      </c>
      <c r="C20" s="12" t="s">
        <v>181</v>
      </c>
      <c r="D20" s="12" t="s">
        <v>182</v>
      </c>
      <c r="E20" s="12" t="s">
        <v>183</v>
      </c>
      <c r="F20" s="0" t="s">
        <v>184</v>
      </c>
    </row>
    <row r="21" customFormat="false" ht="15" hidden="false" customHeight="false" outlineLevel="0" collapsed="false">
      <c r="B21" s="5" t="s">
        <v>185</v>
      </c>
      <c r="C21" s="37" t="n">
        <f aca="false">'3. Assumptions'!C28*'3. Assumptions'!C29</f>
        <v>4874100</v>
      </c>
      <c r="D21" s="42" t="n">
        <f aca="false">C21/$C$23</f>
        <v>0.977463648182876</v>
      </c>
      <c r="E21" s="51" t="n">
        <f aca="false">C10</f>
        <v>0.095</v>
      </c>
      <c r="F21" s="51" t="n">
        <f aca="false">D21*E21</f>
        <v>0.0928590465773732</v>
      </c>
    </row>
    <row r="22" customFormat="false" ht="15" hidden="false" customHeight="false" outlineLevel="0" collapsed="false">
      <c r="B22" s="5" t="s">
        <v>186</v>
      </c>
      <c r="C22" s="36" t="n">
        <f aca="false">'2. Historical Financials'!G29</f>
        <v>112377</v>
      </c>
      <c r="D22" s="42" t="n">
        <f aca="false">C22/$C$23</f>
        <v>0.0225363518171246</v>
      </c>
      <c r="E22" s="51" t="n">
        <f aca="false">C16</f>
        <v>0.038</v>
      </c>
      <c r="F22" s="51" t="n">
        <f aca="false">D22*E22</f>
        <v>0.000856381369050735</v>
      </c>
    </row>
    <row r="23" customFormat="false" ht="15" hidden="false" customHeight="false" outlineLevel="0" collapsed="false">
      <c r="B23" s="40" t="s">
        <v>187</v>
      </c>
      <c r="C23" s="41" t="n">
        <f aca="false">C21+C22</f>
        <v>4986477</v>
      </c>
      <c r="D23" s="25" t="n">
        <f aca="false">D21+D22</f>
        <v>1</v>
      </c>
    </row>
    <row r="26" customFormat="false" ht="17.35" hidden="false" customHeight="false" outlineLevel="0" collapsed="false">
      <c r="B26" s="52" t="s">
        <v>40</v>
      </c>
      <c r="E26" s="53" t="n">
        <f aca="false">F21+F22</f>
        <v>0.0937154279464239</v>
      </c>
    </row>
  </sheetData>
  <mergeCells count="13">
    <mergeCell ref="B2:J2"/>
    <mergeCell ref="B3:J3"/>
    <mergeCell ref="B5:F5"/>
    <mergeCell ref="D6:F6"/>
    <mergeCell ref="D7:F7"/>
    <mergeCell ref="D8:F8"/>
    <mergeCell ref="D9:F9"/>
    <mergeCell ref="B12:F12"/>
    <mergeCell ref="D13:F13"/>
    <mergeCell ref="D14:F14"/>
    <mergeCell ref="D15:F15"/>
    <mergeCell ref="B18:F18"/>
    <mergeCell ref="B19:F19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5" min="3" style="0" width="18"/>
    <col collapsed="false" customWidth="true" hidden="false" outlineLevel="0" max="6" min="6" style="0" width="40"/>
  </cols>
  <sheetData>
    <row r="2" customFormat="false" ht="24" hidden="false" customHeight="true" outlineLevel="0" collapsed="false">
      <c r="B2" s="1" t="s">
        <v>188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189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4" t="s">
        <v>190</v>
      </c>
      <c r="C5" s="4"/>
      <c r="D5" s="4"/>
      <c r="E5" s="4"/>
      <c r="F5" s="4"/>
    </row>
    <row r="6" customFormat="false" ht="15" hidden="false" customHeight="false" outlineLevel="0" collapsed="false">
      <c r="B6" s="12" t="s">
        <v>164</v>
      </c>
      <c r="C6" s="12" t="s">
        <v>181</v>
      </c>
      <c r="D6" s="12" t="s">
        <v>33</v>
      </c>
      <c r="E6" s="12"/>
      <c r="F6" s="12"/>
    </row>
    <row r="7" customFormat="false" ht="15" hidden="false" customHeight="false" outlineLevel="0" collapsed="false">
      <c r="B7" s="5" t="s">
        <v>191</v>
      </c>
      <c r="C7" s="36" t="n">
        <f aca="false">'5. Free Cash Flow'!F26</f>
        <v>642677.03432437</v>
      </c>
      <c r="D7" s="54" t="s">
        <v>192</v>
      </c>
      <c r="E7" s="54"/>
      <c r="F7" s="54"/>
    </row>
    <row r="9" customFormat="false" ht="15" hidden="false" customHeight="false" outlineLevel="0" collapsed="false">
      <c r="B9" s="4" t="s">
        <v>193</v>
      </c>
      <c r="C9" s="4"/>
      <c r="D9" s="4"/>
      <c r="E9" s="4"/>
      <c r="F9" s="4"/>
    </row>
    <row r="10" customFormat="false" ht="15" hidden="false" customHeight="false" outlineLevel="0" collapsed="false">
      <c r="B10" s="5" t="s">
        <v>194</v>
      </c>
      <c r="C10" s="36" t="n">
        <f aca="false">'5. Free Cash Flow'!H14</f>
        <v>140961.823958887</v>
      </c>
      <c r="D10" s="54" t="s">
        <v>195</v>
      </c>
      <c r="E10" s="54"/>
      <c r="F10" s="54"/>
    </row>
    <row r="11" customFormat="false" ht="15" hidden="false" customHeight="false" outlineLevel="0" collapsed="false">
      <c r="B11" s="5" t="s">
        <v>120</v>
      </c>
      <c r="C11" s="14" t="n">
        <f aca="false">'3. Assumptions'!C33</f>
        <v>0.03</v>
      </c>
      <c r="D11" s="54" t="s">
        <v>44</v>
      </c>
      <c r="E11" s="54"/>
      <c r="F11" s="54"/>
    </row>
    <row r="12" customFormat="false" ht="15" hidden="false" customHeight="false" outlineLevel="0" collapsed="false">
      <c r="B12" s="5" t="s">
        <v>122</v>
      </c>
      <c r="C12" s="16" t="n">
        <f aca="false">'6. WACC'!J1</f>
        <v>0.0937154279464239</v>
      </c>
      <c r="D12" s="54" t="s">
        <v>196</v>
      </c>
      <c r="E12" s="54"/>
      <c r="F12" s="54"/>
    </row>
    <row r="13" customFormat="false" ht="15" hidden="false" customHeight="false" outlineLevel="0" collapsed="false">
      <c r="B13" s="38" t="s">
        <v>197</v>
      </c>
      <c r="C13" s="39" t="n">
        <f aca="false">C10*(1+C11)/(C12-C11)</f>
        <v>2278736.61618877</v>
      </c>
      <c r="D13" s="54" t="s">
        <v>198</v>
      </c>
      <c r="E13" s="54"/>
      <c r="F13" s="54"/>
    </row>
    <row r="14" customFormat="false" ht="15" hidden="false" customHeight="false" outlineLevel="0" collapsed="false">
      <c r="B14" s="38" t="s">
        <v>199</v>
      </c>
      <c r="C14" s="39" t="n">
        <f aca="false">C13/(1+C12)^5</f>
        <v>1456037.09444466</v>
      </c>
      <c r="D14" s="54" t="s">
        <v>200</v>
      </c>
      <c r="E14" s="54"/>
      <c r="F14" s="54"/>
    </row>
    <row r="16" customFormat="false" ht="15" hidden="false" customHeight="false" outlineLevel="0" collapsed="false">
      <c r="B16" s="4" t="s">
        <v>22</v>
      </c>
      <c r="C16" s="4"/>
      <c r="D16" s="4"/>
      <c r="E16" s="4"/>
      <c r="F16" s="4"/>
    </row>
    <row r="17" customFormat="false" ht="15" hidden="false" customHeight="false" outlineLevel="0" collapsed="false">
      <c r="B17" s="5" t="s">
        <v>201</v>
      </c>
      <c r="C17" s="37" t="n">
        <f aca="false">C7</f>
        <v>642677.03432437</v>
      </c>
    </row>
    <row r="18" customFormat="false" ht="15" hidden="false" customHeight="false" outlineLevel="0" collapsed="false">
      <c r="B18" s="5" t="s">
        <v>199</v>
      </c>
      <c r="C18" s="37" t="n">
        <f aca="false">C14</f>
        <v>1456037.09444466</v>
      </c>
    </row>
    <row r="19" customFormat="false" ht="15" hidden="false" customHeight="false" outlineLevel="0" collapsed="false">
      <c r="B19" s="5" t="s">
        <v>202</v>
      </c>
      <c r="C19" s="42" t="n">
        <f aca="false">C18/E20</f>
        <v>0.693775809904457</v>
      </c>
    </row>
    <row r="20" customFormat="false" ht="17.35" hidden="false" customHeight="false" outlineLevel="0" collapsed="false">
      <c r="B20" s="43" t="s">
        <v>23</v>
      </c>
      <c r="E20" s="55" t="n">
        <f aca="false">C17+C18</f>
        <v>2098714.12876903</v>
      </c>
    </row>
    <row r="22" customFormat="false" ht="17.35" hidden="false" customHeight="false" outlineLevel="0" collapsed="false">
      <c r="B22" s="5" t="s">
        <v>203</v>
      </c>
      <c r="C22" s="36" t="n">
        <f aca="false">'2. Historical Financials'!G30</f>
        <v>57680</v>
      </c>
      <c r="E22" s="56" t="n">
        <f aca="false">E20-C22</f>
        <v>2041034.12876903</v>
      </c>
    </row>
    <row r="24" customFormat="false" ht="17.35" hidden="false" customHeight="false" outlineLevel="0" collapsed="false">
      <c r="B24" s="38" t="s">
        <v>25</v>
      </c>
      <c r="E24" s="57" t="n">
        <f aca="false">E22/'3. Assumptions'!C28</f>
        <v>138.187821853015</v>
      </c>
    </row>
    <row r="26" customFormat="false" ht="17.35" hidden="false" customHeight="false" outlineLevel="0" collapsed="false">
      <c r="B26" s="38" t="s">
        <v>204</v>
      </c>
      <c r="E26" s="58" t="n">
        <f aca="false">E24/'3. Assumptions'!C29-1</f>
        <v>-0.581249024687834</v>
      </c>
    </row>
    <row r="27" customFormat="false" ht="17.35" hidden="false" customHeight="false" outlineLevel="0" collapsed="false">
      <c r="B27" s="38" t="s">
        <v>28</v>
      </c>
      <c r="E27" s="59" t="str">
        <f aca="false">IF(E26&gt;0.15,"BUY",IF(E26&gt;-0.15,"HOLD","SELL"))</f>
        <v>SELL</v>
      </c>
    </row>
  </sheetData>
  <mergeCells count="12">
    <mergeCell ref="B2:J2"/>
    <mergeCell ref="B3:J3"/>
    <mergeCell ref="B5:F5"/>
    <mergeCell ref="D6:F6"/>
    <mergeCell ref="D7:F7"/>
    <mergeCell ref="B9:F9"/>
    <mergeCell ref="D10:F10"/>
    <mergeCell ref="D11:F11"/>
    <mergeCell ref="D12:F12"/>
    <mergeCell ref="D13:F13"/>
    <mergeCell ref="D14:F14"/>
    <mergeCell ref="B16:F16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8" min="3" style="0" width="14"/>
  </cols>
  <sheetData>
    <row r="2" customFormat="false" ht="24" hidden="false" customHeight="true" outlineLevel="0" collapsed="false">
      <c r="B2" s="1" t="s">
        <v>205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206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12" t="s">
        <v>40</v>
      </c>
      <c r="C5" s="60" t="n">
        <v>0.02</v>
      </c>
      <c r="D5" s="60" t="n">
        <v>0.025</v>
      </c>
      <c r="E5" s="60" t="n">
        <v>0.03</v>
      </c>
      <c r="F5" s="60" t="n">
        <v>0.035</v>
      </c>
      <c r="G5" s="60" t="n">
        <v>0.04</v>
      </c>
    </row>
    <row r="6" customFormat="false" ht="15" hidden="false" customHeight="false" outlineLevel="0" collapsed="false">
      <c r="B6" s="61" t="n">
        <v>0.08</v>
      </c>
      <c r="C6" s="62" t="n">
        <f aca="false">('5. Free Cash Flow'!D14/(1+B6)^1+'5. Free Cash Flow'!E14/(1+B6)^2+'5. Free Cash Flow'!F14/(1+B6)^3+'5. Free Cash Flow'!G14/(1+B6)^4+'5. Free Cash Flow'!H14/(1+B6)^5+'5. Free Cash Flow'!H14*(1+C$5)/(B6-C$5)/(1+B6)^5-'2. Historical Financials'!G30)/'3. Assumptions'!C28</f>
        <v>140.9837108463</v>
      </c>
      <c r="D6" s="62" t="n">
        <f aca="false">('5. Free Cash Flow'!D14/(1+B6)^1+'5. Free Cash Flow'!E14/(1+B6)^2+'5. Free Cash Flow'!F14/(1+B6)^3+'5. Free Cash Flow'!G14/(1+B6)^4+'5. Free Cash Flow'!H14/(1+B6)^5+'5. Free Cash Flow'!H14*(1+D$5)/(B6-D$5)/(1+B6)^5-'2. Historical Financials'!G30)/'3. Assumptions'!C28</f>
        <v>151.612457559993</v>
      </c>
      <c r="E6" s="62" t="n">
        <f aca="false">('5. Free Cash Flow'!D14/(1+B6)^1+'5. Free Cash Flow'!E14/(1+B6)^2+'5. Free Cash Flow'!F14/(1+B6)^3+'5. Free Cash Flow'!G14/(1+B6)^4+'5. Free Cash Flow'!H14/(1+B6)^5+'5. Free Cash Flow'!H14*(1+E$5)/(B6-E$5)/(1+B6)^5-'2. Historical Financials'!G30)/'3. Assumptions'!C28</f>
        <v>164.366953616425</v>
      </c>
      <c r="F6" s="62" t="n">
        <f aca="false">('5. Free Cash Flow'!D14/(1+B6)^1+'5. Free Cash Flow'!E14/(1+B6)^2+'5. Free Cash Flow'!F14/(1+B6)^3+'5. Free Cash Flow'!G14/(1+B6)^4+'5. Free Cash Flow'!H14/(1+B6)^5+'5. Free Cash Flow'!H14*(1+F$5)/(B6-F$5)/(1+B6)^5-'2. Historical Financials'!G30)/'3. Assumptions'!C28</f>
        <v>179.955782129841</v>
      </c>
      <c r="G6" s="62" t="n">
        <f aca="false">('5. Free Cash Flow'!D14/(1+B6)^1+'5. Free Cash Flow'!E14/(1+B6)^2+'5. Free Cash Flow'!F14/(1+B6)^3+'5. Free Cash Flow'!G14/(1+B6)^4+'5. Free Cash Flow'!H14/(1+B6)^5+'5. Free Cash Flow'!H14*(1+G$5)/(B6-G$5)/(1+B6)^5-'2. Historical Financials'!G30)/'3. Assumptions'!C28</f>
        <v>199.441817771611</v>
      </c>
    </row>
    <row r="7" customFormat="false" ht="15" hidden="false" customHeight="false" outlineLevel="0" collapsed="false">
      <c r="B7" s="61" t="n">
        <v>0.085</v>
      </c>
      <c r="C7" s="62" t="n">
        <f aca="false">('5. Free Cash Flow'!D14/(1+B7)^1+'5. Free Cash Flow'!E14/(1+B7)^2+'5. Free Cash Flow'!F14/(1+B7)^3+'5. Free Cash Flow'!G14/(1+B7)^4+'5. Free Cash Flow'!H14/(1+B7)^5+'5. Free Cash Flow'!H14*(1+C$5)/(B7-C$5)/(1+B7)^5-'2. Historical Financials'!G30)/'3. Assumptions'!C28</f>
        <v>129.696847116904</v>
      </c>
      <c r="D7" s="62" t="n">
        <f aca="false">('5. Free Cash Flow'!D14/(1+B7)^1+'5. Free Cash Flow'!E14/(1+B7)^2+'5. Free Cash Flow'!F14/(1+B7)^3+'5. Free Cash Flow'!G14/(1+B7)^4+'5. Free Cash Flow'!H14/(1+B7)^5+'5. Free Cash Flow'!H14*(1+D$5)/(B7-D$5)/(1+B7)^5-'2. Historical Financials'!G30)/'3. Assumptions'!C28</f>
        <v>138.525764641359</v>
      </c>
      <c r="E7" s="62" t="n">
        <f aca="false">('5. Free Cash Flow'!D14/(1+B7)^1+'5. Free Cash Flow'!E14/(1+B7)^2+'5. Free Cash Flow'!F14/(1+B7)^3+'5. Free Cash Flow'!G14/(1+B7)^4+'5. Free Cash Flow'!H14/(1+B7)^5+'5. Free Cash Flow'!H14*(1+E$5)/(B7-E$5)/(1+B7)^5-'2. Historical Financials'!G30)/'3. Assumptions'!C28</f>
        <v>148.959939897533</v>
      </c>
      <c r="F7" s="62" t="n">
        <f aca="false">('5. Free Cash Flow'!D14/(1+B7)^1+'5. Free Cash Flow'!E14/(1+B7)^2+'5. Free Cash Flow'!F14/(1+B7)^3+'5. Free Cash Flow'!G14/(1+B7)^4+'5. Free Cash Flow'!H14/(1+B7)^5+'5. Free Cash Flow'!H14*(1+F$5)/(B7-F$5)/(1+B7)^5-'2. Historical Financials'!G30)/'3. Assumptions'!C28</f>
        <v>161.480950204943</v>
      </c>
      <c r="G7" s="62" t="n">
        <f aca="false">('5. Free Cash Flow'!D14/(1+B7)^1+'5. Free Cash Flow'!E14/(1+B7)^2+'5. Free Cash Flow'!F14/(1+B7)^3+'5. Free Cash Flow'!G14/(1+B7)^4+'5. Free Cash Flow'!H14/(1+B7)^5+'5. Free Cash Flow'!H14*(1+G$5)/(B7-G$5)/(1+B7)^5-'2. Historical Financials'!G30)/'3. Assumptions'!C28</f>
        <v>176.784407247332</v>
      </c>
    </row>
    <row r="8" customFormat="false" ht="15" hidden="false" customHeight="false" outlineLevel="0" collapsed="false">
      <c r="B8" s="61" t="n">
        <v>0.09</v>
      </c>
      <c r="C8" s="62" t="n">
        <f aca="false">('5. Free Cash Flow'!D14/(1+B8)^1+'5. Free Cash Flow'!E14/(1+B8)^2+'5. Free Cash Flow'!F14/(1+B8)^3+'5. Free Cash Flow'!G14/(1+B8)^4+'5. Free Cash Flow'!H14/(1+B8)^5+'5. Free Cash Flow'!H14*(1+C$5)/(B8-C$5)/(1+B8)^5-'2. Historical Financials'!G30)/'3. Assumptions'!C28</f>
        <v>120.02456404658</v>
      </c>
      <c r="D8" s="62" t="n">
        <f aca="false">('5. Free Cash Flow'!D14/(1+B8)^1+'5. Free Cash Flow'!E14/(1+B8)^2+'5. Free Cash Flow'!F14/(1+B8)^3+'5. Free Cash Flow'!G14/(1+B8)^4+'5. Free Cash Flow'!H14/(1+B8)^5+'5. Free Cash Flow'!H14*(1+D$5)/(B8-D$5)/(1+B8)^5-'2. Historical Financials'!G30)/'3. Assumptions'!C28</f>
        <v>127.454304304915</v>
      </c>
      <c r="E8" s="62" t="n">
        <f aca="false">('5. Free Cash Flow'!D14/(1+B8)^1+'5. Free Cash Flow'!E14/(1+B8)^2+'5. Free Cash Flow'!F14/(1+B8)^3+'5. Free Cash Flow'!G14/(1+B8)^4+'5. Free Cash Flow'!H14/(1+B8)^5+'5. Free Cash Flow'!H14*(1+E$5)/(B8-E$5)/(1+B8)^5-'2. Historical Financials'!G30)/'3. Assumptions'!C28</f>
        <v>136.122334606307</v>
      </c>
      <c r="F8" s="62" t="n">
        <f aca="false">('5. Free Cash Flow'!D14/(1+B8)^1+'5. Free Cash Flow'!E14/(1+B8)^2+'5. Free Cash Flow'!F14/(1+B8)^3+'5. Free Cash Flow'!G14/(1+B8)^4+'5. Free Cash Flow'!H14/(1+B8)^5+'5. Free Cash Flow'!H14*(1+F$5)/(B8-F$5)/(1+B8)^5-'2. Historical Financials'!G30)/'3. Assumptions'!C28</f>
        <v>146.366370417042</v>
      </c>
      <c r="G8" s="62" t="n">
        <f aca="false">('5. Free Cash Flow'!D14/(1+B8)^1+'5. Free Cash Flow'!E14/(1+B8)^2+'5. Free Cash Flow'!F14/(1+B8)^3+'5. Free Cash Flow'!G14/(1+B8)^4+'5. Free Cash Flow'!H14/(1+B8)^5+'5. Free Cash Flow'!H14*(1+G$5)/(B8-G$5)/(1+B8)^5-'2. Historical Financials'!G30)/'3. Assumptions'!C28</f>
        <v>158.659213389924</v>
      </c>
    </row>
    <row r="9" customFormat="false" ht="15" hidden="false" customHeight="false" outlineLevel="0" collapsed="false">
      <c r="B9" s="61" t="n">
        <v>0.095</v>
      </c>
      <c r="C9" s="62" t="n">
        <f aca="false">('5. Free Cash Flow'!D14/(1+B9)^1+'5. Free Cash Flow'!E14/(1+B9)^2+'5. Free Cash Flow'!F14/(1+B9)^3+'5. Free Cash Flow'!G14/(1+B9)^4+'5. Free Cash Flow'!H14/(1+B9)^5+'5. Free Cash Flow'!H14*(1+C$5)/(B9-C$5)/(1+B9)^5-'2. Historical Financials'!G30)/'3. Assumptions'!C28</f>
        <v>111.643900222884</v>
      </c>
      <c r="D9" s="62" t="n">
        <f aca="false">('5. Free Cash Flow'!D14/(1+B9)^1+'5. Free Cash Flow'!E14/(1+B9)^2+'5. Free Cash Flow'!F14/(1+B9)^3+'5. Free Cash Flow'!G14/(1+B9)^4+'5. Free Cash Flow'!H14/(1+B9)^5+'5. Free Cash Flow'!H14*(1+D$5)/(B9-D$5)/(1+B9)^5-'2. Historical Financials'!G30)/'3. Assumptions'!C28</f>
        <v>117.966202257792</v>
      </c>
      <c r="E9" s="63" t="n">
        <f aca="false">('5. Free Cash Flow'!D14/(1+B9)^1+'5. Free Cash Flow'!E14/(1+B9)^2+'5. Free Cash Flow'!F14/(1+B9)^3+'5. Free Cash Flow'!G14/(1+B9)^4+'5. Free Cash Flow'!H14/(1+B9)^5+'5. Free Cash Flow'!H14*(1+E$5)/(B9-E$5)/(1+B9)^5-'2. Historical Financials'!G30)/'3. Assumptions'!C28</f>
        <v>125.261166144224</v>
      </c>
      <c r="F9" s="62" t="n">
        <f aca="false">('5. Free Cash Flow'!D14/(1+B9)^1+'5. Free Cash Flow'!E14/(1+B9)^2+'5. Free Cash Flow'!F14/(1+B9)^3+'5. Free Cash Flow'!G14/(1+B9)^4+'5. Free Cash Flow'!H14/(1+B9)^5+'5. Free Cash Flow'!H14*(1+F$5)/(B9-F$5)/(1+B9)^5-'2. Historical Financials'!G30)/'3. Assumptions'!C28</f>
        <v>133.771957345061</v>
      </c>
      <c r="G9" s="62" t="n">
        <f aca="false">('5. Free Cash Flow'!D14/(1+B9)^1+'5. Free Cash Flow'!E14/(1+B9)^2+'5. Free Cash Flow'!F14/(1+B9)^3+'5. Free Cash Flow'!G14/(1+B9)^4+'5. Free Cash Flow'!H14/(1+B9)^5+'5. Free Cash Flow'!H14*(1+G$5)/(B9-G$5)/(1+B9)^5-'2. Historical Financials'!G30)/'3. Assumptions'!C28</f>
        <v>143.830165127869</v>
      </c>
    </row>
    <row r="10" customFormat="false" ht="15" hidden="false" customHeight="false" outlineLevel="0" collapsed="false">
      <c r="B10" s="61" t="n">
        <v>0.1</v>
      </c>
      <c r="C10" s="62" t="n">
        <f aca="false">('5. Free Cash Flow'!D14/(1+B10)^1+'5. Free Cash Flow'!E14/(1+B10)^2+'5. Free Cash Flow'!F14/(1+B10)^3+'5. Free Cash Flow'!G14/(1+B10)^4+'5. Free Cash Flow'!H14/(1+B10)^5+'5. Free Cash Flow'!H14*(1+C$5)/(B10-C$5)/(1+B10)^5-'2. Historical Financials'!G30)/'3. Assumptions'!C28</f>
        <v>104.312635759399</v>
      </c>
      <c r="D10" s="62" t="n">
        <f aca="false">('5. Free Cash Flow'!D14/(1+B10)^1+'5. Free Cash Flow'!E14/(1+B10)^2+'5. Free Cash Flow'!F14/(1+B10)^3+'5. Free Cash Flow'!G14/(1+B10)^4+'5. Free Cash Flow'!H14/(1+B10)^5+'5. Free Cash Flow'!H14*(1+D$5)/(B10-D$5)/(1+B10)^5-'2. Historical Financials'!G30)/'3. Assumptions'!C28</f>
        <v>109.744751673229</v>
      </c>
      <c r="E10" s="62" t="n">
        <f aca="false">('5. Free Cash Flow'!D14/(1+B10)^1+'5. Free Cash Flow'!E14/(1+B10)^2+'5. Free Cash Flow'!F14/(1+B10)^3+'5. Free Cash Flow'!G14/(1+B10)^4+'5. Free Cash Flow'!H14/(1+B10)^5+'5. Free Cash Flow'!H14*(1+E$5)/(B10-E$5)/(1+B10)^5-'2. Historical Financials'!G30)/'3. Assumptions'!C28</f>
        <v>115.952884146178</v>
      </c>
      <c r="F10" s="62" t="n">
        <f aca="false">('5. Free Cash Flow'!D14/(1+B10)^1+'5. Free Cash Flow'!E14/(1+B10)^2+'5. Free Cash Flow'!F14/(1+B10)^3+'5. Free Cash Flow'!G14/(1+B10)^4+'5. Free Cash Flow'!H14/(1+B10)^5+'5. Free Cash Flow'!H14*(1+F$5)/(B10-F$5)/(1+B10)^5-'2. Historical Financials'!G30)/'3. Assumptions'!C28</f>
        <v>123.116113922657</v>
      </c>
      <c r="G10" s="62" t="n">
        <f aca="false">('5. Free Cash Flow'!D14/(1+B10)^1+'5. Free Cash Flow'!E14/(1+B10)^2+'5. Free Cash Flow'!F14/(1+B10)^3+'5. Free Cash Flow'!G14/(1+B10)^4+'5. Free Cash Flow'!H14/(1+B10)^5+'5. Free Cash Flow'!H14*(1+G$5)/(B10-G$5)/(1+B10)^5-'2. Historical Financials'!G30)/'3. Assumptions'!C28</f>
        <v>131.473215328549</v>
      </c>
    </row>
    <row r="11" customFormat="false" ht="15" hidden="false" customHeight="false" outlineLevel="0" collapsed="false">
      <c r="B11" s="61" t="n">
        <v>0.105</v>
      </c>
      <c r="C11" s="62" t="n">
        <f aca="false">('5. Free Cash Flow'!D14/(1+B11)^1+'5. Free Cash Flow'!E14/(1+B11)^2+'5. Free Cash Flow'!F14/(1+B11)^3+'5. Free Cash Flow'!G14/(1+B11)^4+'5. Free Cash Flow'!H14/(1+B11)^5+'5. Free Cash Flow'!H14*(1+C$5)/(B11-C$5)/(1+B11)^5-'2. Historical Financials'!G30)/'3. Assumptions'!C28</f>
        <v>97.8455447520833</v>
      </c>
      <c r="D11" s="62" t="n">
        <f aca="false">('5. Free Cash Flow'!D14/(1+B11)^1+'5. Free Cash Flow'!E14/(1+B11)^2+'5. Free Cash Flow'!F14/(1+B11)^3+'5. Free Cash Flow'!G14/(1+B11)^4+'5. Free Cash Flow'!H14/(1+B11)^5+'5. Free Cash Flow'!H14*(1+D$5)/(B11-D$5)/(1+B11)^5-'2. Historical Financials'!G30)/'3. Assumptions'!C28</f>
        <v>102.552423327474</v>
      </c>
      <c r="E11" s="62" t="n">
        <f aca="false">('5. Free Cash Flow'!D14/(1+B11)^1+'5. Free Cash Flow'!E14/(1+B11)^2+'5. Free Cash Flow'!F14/(1+B11)^3+'5. Free Cash Flow'!G14/(1+B11)^4+'5. Free Cash Flow'!H14/(1+B11)^5+'5. Free Cash Flow'!H14*(1+E$5)/(B11-E$5)/(1+B11)^5-'2. Historical Financials'!G30)/'3. Assumptions'!C28</f>
        <v>107.886885712917</v>
      </c>
      <c r="F11" s="62" t="n">
        <f aca="false">('5. Free Cash Flow'!D14/(1+B11)^1+'5. Free Cash Flow'!E14/(1+B11)^2+'5. Free Cash Flow'!F14/(1+B11)^3+'5. Free Cash Flow'!G14/(1+B11)^4+'5. Free Cash Flow'!H14/(1+B11)^5+'5. Free Cash Flow'!H14*(1+F$5)/(B11-F$5)/(1+B11)^5-'2. Historical Financials'!G30)/'3. Assumptions'!C28</f>
        <v>113.983414153422</v>
      </c>
      <c r="G11" s="62" t="n">
        <f aca="false">('5. Free Cash Flow'!D14/(1+B11)^1+'5. Free Cash Flow'!E14/(1+B11)^2+'5. Free Cash Flow'!F14/(1+B11)^3+'5. Free Cash Flow'!G14/(1+B11)^4+'5. Free Cash Flow'!H14/(1+B11)^5+'5. Free Cash Flow'!H14*(1+G$5)/(B11-G$5)/(1+B11)^5-'2. Historical Financials'!G30)/'3. Assumptions'!C28</f>
        <v>121.017870046314</v>
      </c>
    </row>
    <row r="12" customFormat="false" ht="15" hidden="false" customHeight="false" outlineLevel="0" collapsed="false">
      <c r="B12" s="61" t="n">
        <v>0.11</v>
      </c>
      <c r="C12" s="62" t="n">
        <f aca="false">('5. Free Cash Flow'!D14/(1+B12)^1+'5. Free Cash Flow'!E14/(1+B12)^2+'5. Free Cash Flow'!F14/(1+B12)^3+'5. Free Cash Flow'!G14/(1+B12)^4+'5. Free Cash Flow'!H14/(1+B12)^5+'5. Free Cash Flow'!H14*(1+C$5)/(B12-C$5)/(1+B12)^5-'2. Historical Financials'!G30)/'3. Assumptions'!C28</f>
        <v>92.0985635847735</v>
      </c>
      <c r="D12" s="62" t="n">
        <f aca="false">('5. Free Cash Flow'!D14/(1+B12)^1+'5. Free Cash Flow'!E14/(1+B12)^2+'5. Free Cash Flow'!F14/(1+B12)^3+'5. Free Cash Flow'!G14/(1+B12)^4+'5. Free Cash Flow'!H14/(1+B12)^5+'5. Free Cash Flow'!H14*(1+D$5)/(B12-D$5)/(1+B12)^5-'2. Historical Financials'!G30)/'3. Assumptions'!C28</f>
        <v>96.207578042347</v>
      </c>
      <c r="E12" s="62" t="n">
        <f aca="false">('5. Free Cash Flow'!D14/(1+B12)^1+'5. Free Cash Flow'!E14/(1+B12)^2+'5. Free Cash Flow'!F14/(1+B12)^3+'5. Free Cash Flow'!G14/(1+B12)^4+'5. Free Cash Flow'!H14/(1+B12)^5+'5. Free Cash Flow'!H14*(1+E$5)/(B12-E$5)/(1+B12)^5-'2. Historical Financials'!G30)/'3. Assumptions'!C28</f>
        <v>100.830219307117</v>
      </c>
      <c r="F12" s="62" t="n">
        <f aca="false">('5. Free Cash Flow'!D14/(1+B12)^1+'5. Free Cash Flow'!E14/(1+B12)^2+'5. Free Cash Flow'!F14/(1+B12)^3+'5. Free Cash Flow'!G14/(1+B12)^4+'5. Free Cash Flow'!H14/(1+B12)^5+'5. Free Cash Flow'!H14*(1+F$5)/(B12-F$5)/(1+B12)^5-'2. Historical Financials'!G30)/'3. Assumptions'!C28</f>
        <v>106.069212740524</v>
      </c>
      <c r="G12" s="62" t="n">
        <f aca="false">('5. Free Cash Flow'!D14/(1+B12)^1+'5. Free Cash Flow'!E14/(1+B12)^2+'5. Free Cash Flow'!F14/(1+B12)^3+'5. Free Cash Flow'!G14/(1+B12)^4+'5. Free Cash Flow'!H14/(1+B12)^5+'5. Free Cash Flow'!H14*(1+G$5)/(B12-G$5)/(1+B12)^5-'2. Historical Financials'!G30)/'3. Assumptions'!C28</f>
        <v>112.056633807274</v>
      </c>
    </row>
    <row r="14" customFormat="false" ht="15" hidden="false" customHeight="false" outlineLevel="0" collapsed="false">
      <c r="B14" s="5" t="s">
        <v>14</v>
      </c>
      <c r="C14" s="64" t="n">
        <f aca="false">'3. Assumptions'!C29</f>
        <v>330</v>
      </c>
    </row>
    <row r="16" customFormat="false" ht="15" hidden="false" customHeight="false" outlineLevel="0" collapsed="false">
      <c r="B16" s="21" t="s">
        <v>207</v>
      </c>
    </row>
    <row r="18" customFormat="false" ht="15" hidden="false" customHeight="false" outlineLevel="0" collapsed="false">
      <c r="B18" s="4" t="s">
        <v>208</v>
      </c>
      <c r="C18" s="4"/>
      <c r="D18" s="4"/>
      <c r="E18" s="4"/>
      <c r="F18" s="4"/>
      <c r="G18" s="4"/>
      <c r="H18" s="4"/>
    </row>
    <row r="19" customFormat="false" ht="15" hidden="false" customHeight="false" outlineLevel="0" collapsed="false">
      <c r="B19" s="12" t="s">
        <v>156</v>
      </c>
      <c r="C19" s="12" t="s">
        <v>31</v>
      </c>
      <c r="D19" s="12" t="s">
        <v>33</v>
      </c>
      <c r="E19" s="12"/>
      <c r="F19" s="12"/>
      <c r="G19" s="12"/>
      <c r="H19" s="12"/>
    </row>
    <row r="20" customFormat="false" ht="15" hidden="false" customHeight="false" outlineLevel="0" collapsed="false">
      <c r="B20" s="5" t="s">
        <v>209</v>
      </c>
      <c r="C20" s="37" t="n">
        <f aca="false">'4. Income Statement'!H16</f>
        <v>196124.544364852</v>
      </c>
      <c r="D20" s="54" t="s">
        <v>210</v>
      </c>
      <c r="E20" s="54"/>
      <c r="F20" s="54"/>
      <c r="G20" s="54"/>
      <c r="H20" s="54"/>
    </row>
    <row r="21" customFormat="false" ht="15" hidden="false" customHeight="false" outlineLevel="0" collapsed="false">
      <c r="B21" s="5" t="s">
        <v>124</v>
      </c>
      <c r="C21" s="65" t="n">
        <f aca="false">'3. Assumptions'!C35</f>
        <v>18</v>
      </c>
      <c r="D21" s="54" t="s">
        <v>211</v>
      </c>
      <c r="E21" s="54"/>
      <c r="F21" s="54"/>
      <c r="G21" s="54"/>
      <c r="H21" s="54"/>
    </row>
    <row r="22" customFormat="false" ht="15" hidden="false" customHeight="false" outlineLevel="0" collapsed="false">
      <c r="B22" s="5" t="s">
        <v>212</v>
      </c>
      <c r="C22" s="37" t="n">
        <f aca="false">C20*C21</f>
        <v>3530241.79856733</v>
      </c>
      <c r="D22" s="54" t="s">
        <v>213</v>
      </c>
      <c r="E22" s="54"/>
      <c r="F22" s="54"/>
      <c r="G22" s="54"/>
      <c r="H22" s="54"/>
    </row>
    <row r="23" customFormat="false" ht="15" hidden="false" customHeight="false" outlineLevel="0" collapsed="false">
      <c r="B23" s="5" t="s">
        <v>199</v>
      </c>
      <c r="C23" s="37" t="n">
        <f aca="false">C22/(1+'6. WACC'!J1)^5</f>
        <v>2255707.38388805</v>
      </c>
      <c r="D23" s="54" t="s">
        <v>214</v>
      </c>
      <c r="E23" s="54"/>
      <c r="F23" s="54"/>
      <c r="G23" s="54"/>
      <c r="H23" s="54"/>
    </row>
    <row r="24" customFormat="false" ht="15" hidden="false" customHeight="false" outlineLevel="0" collapsed="false">
      <c r="B24" s="5" t="s">
        <v>215</v>
      </c>
      <c r="C24" s="37" t="n">
        <f aca="false">C7+C23</f>
        <v>2255837.08073516</v>
      </c>
      <c r="D24" s="54" t="s">
        <v>216</v>
      </c>
      <c r="E24" s="54"/>
      <c r="F24" s="54"/>
      <c r="G24" s="54"/>
      <c r="H24" s="54"/>
    </row>
    <row r="25" customFormat="false" ht="15" hidden="false" customHeight="false" outlineLevel="0" collapsed="false">
      <c r="B25" s="5" t="s">
        <v>24</v>
      </c>
      <c r="C25" s="37" t="n">
        <f aca="false">C24-'2. Historical Financials'!G30</f>
        <v>2198157.08073516</v>
      </c>
      <c r="D25" s="54" t="s">
        <v>217</v>
      </c>
      <c r="E25" s="54"/>
      <c r="F25" s="54"/>
      <c r="G25" s="54"/>
      <c r="H25" s="54"/>
    </row>
    <row r="26" customFormat="false" ht="15" hidden="false" customHeight="false" outlineLevel="0" collapsed="false">
      <c r="B26" s="5" t="s">
        <v>25</v>
      </c>
      <c r="C26" s="66" t="n">
        <f aca="false">C25/'3. Assumptions'!C28</f>
        <v>148.825800997641</v>
      </c>
      <c r="D26" s="54" t="s">
        <v>218</v>
      </c>
      <c r="E26" s="54"/>
      <c r="F26" s="54"/>
      <c r="G26" s="54"/>
      <c r="H26" s="54"/>
    </row>
  </sheetData>
  <mergeCells count="11">
    <mergeCell ref="B2:J2"/>
    <mergeCell ref="B3:J3"/>
    <mergeCell ref="B18:H18"/>
    <mergeCell ref="D19:H19"/>
    <mergeCell ref="D20:H20"/>
    <mergeCell ref="D21:H21"/>
    <mergeCell ref="D22:H22"/>
    <mergeCell ref="D23:H23"/>
    <mergeCell ref="D24:H24"/>
    <mergeCell ref="D25:H25"/>
    <mergeCell ref="D26:H26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9" min="3" style="0" width="14"/>
  </cols>
  <sheetData>
    <row r="2" customFormat="false" ht="24" hidden="false" customHeight="true" outlineLevel="0" collapsed="false">
      <c r="B2" s="1" t="s">
        <v>219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220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4" t="s">
        <v>221</v>
      </c>
      <c r="C5" s="4"/>
      <c r="D5" s="4"/>
      <c r="E5" s="4"/>
      <c r="F5" s="4"/>
      <c r="G5" s="4"/>
      <c r="H5" s="4"/>
      <c r="I5" s="4"/>
    </row>
    <row r="6" customFormat="false" ht="15" hidden="false" customHeight="false" outlineLevel="0" collapsed="false">
      <c r="B6" s="12" t="s">
        <v>4</v>
      </c>
      <c r="C6" s="12" t="s">
        <v>6</v>
      </c>
      <c r="D6" s="12" t="s">
        <v>222</v>
      </c>
      <c r="E6" s="12" t="s">
        <v>223</v>
      </c>
      <c r="F6" s="12" t="s">
        <v>224</v>
      </c>
      <c r="G6" s="12" t="s">
        <v>225</v>
      </c>
      <c r="H6" s="12" t="s">
        <v>226</v>
      </c>
      <c r="I6" s="12" t="s">
        <v>227</v>
      </c>
      <c r="J6" s="0" t="s">
        <v>228</v>
      </c>
    </row>
    <row r="7" customFormat="false" ht="15" hidden="false" customHeight="false" outlineLevel="0" collapsed="false">
      <c r="B7" s="67" t="s">
        <v>229</v>
      </c>
      <c r="C7" s="68" t="s">
        <v>230</v>
      </c>
      <c r="D7" s="69" t="n">
        <v>330</v>
      </c>
      <c r="E7" s="70" t="n">
        <v>4874</v>
      </c>
      <c r="F7" s="70" t="n">
        <v>416.2</v>
      </c>
      <c r="G7" s="70" t="n">
        <v>144.7</v>
      </c>
      <c r="H7" s="71" t="n">
        <v>38.2</v>
      </c>
      <c r="I7" s="71" t="n">
        <v>33.8</v>
      </c>
      <c r="J7" s="71" t="n">
        <v>11.6</v>
      </c>
    </row>
    <row r="8" customFormat="false" ht="15" hidden="false" customHeight="false" outlineLevel="0" collapsed="false">
      <c r="B8" s="67" t="s">
        <v>231</v>
      </c>
      <c r="C8" s="68" t="s">
        <v>232</v>
      </c>
      <c r="D8" s="69" t="n">
        <v>475</v>
      </c>
      <c r="E8" s="70" t="n">
        <v>3534</v>
      </c>
      <c r="F8" s="70" t="n">
        <v>280.2</v>
      </c>
      <c r="G8" s="70" t="n">
        <v>129</v>
      </c>
      <c r="H8" s="71" t="n">
        <v>28.5</v>
      </c>
      <c r="I8" s="71" t="n">
        <v>25.8</v>
      </c>
      <c r="J8" s="71" t="n">
        <v>12.1</v>
      </c>
    </row>
    <row r="9" customFormat="false" ht="15" hidden="false" customHeight="false" outlineLevel="0" collapsed="false">
      <c r="B9" s="67" t="s">
        <v>233</v>
      </c>
      <c r="C9" s="68" t="s">
        <v>234</v>
      </c>
      <c r="D9" s="69" t="n">
        <v>185</v>
      </c>
      <c r="E9" s="70" t="n">
        <v>2274</v>
      </c>
      <c r="F9" s="70" t="n">
        <v>350</v>
      </c>
      <c r="G9" s="70" t="n">
        <v>120</v>
      </c>
      <c r="H9" s="71" t="n">
        <v>23.1</v>
      </c>
      <c r="I9" s="71" t="n">
        <v>18.5</v>
      </c>
      <c r="J9" s="71" t="n">
        <v>6.3</v>
      </c>
    </row>
    <row r="10" customFormat="false" ht="15" hidden="false" customHeight="false" outlineLevel="0" collapsed="false">
      <c r="B10" s="67" t="s">
        <v>235</v>
      </c>
      <c r="C10" s="68" t="s">
        <v>236</v>
      </c>
      <c r="D10" s="69" t="n">
        <v>590</v>
      </c>
      <c r="E10" s="70" t="n">
        <v>1498</v>
      </c>
      <c r="F10" s="70" t="n">
        <v>149</v>
      </c>
      <c r="G10" s="70" t="n">
        <v>75</v>
      </c>
      <c r="H10" s="71" t="n">
        <v>27.8</v>
      </c>
      <c r="I10" s="71" t="n">
        <v>19.5</v>
      </c>
      <c r="J10" s="71" t="n">
        <v>9.8</v>
      </c>
    </row>
    <row r="11" customFormat="false" ht="15" hidden="false" customHeight="false" outlineLevel="0" collapsed="false">
      <c r="B11" s="67" t="s">
        <v>237</v>
      </c>
      <c r="C11" s="68" t="s">
        <v>238</v>
      </c>
      <c r="D11" s="69" t="n">
        <v>42</v>
      </c>
      <c r="E11" s="70" t="n">
        <v>280</v>
      </c>
      <c r="F11" s="70" t="n">
        <v>238</v>
      </c>
      <c r="G11" s="70" t="n">
        <v>55</v>
      </c>
      <c r="H11" s="71" t="n">
        <v>14.2</v>
      </c>
      <c r="I11" s="71" t="n">
        <v>9.8</v>
      </c>
      <c r="J11" s="71" t="n">
        <v>1.2</v>
      </c>
    </row>
    <row r="12" customFormat="false" ht="15" hidden="false" customHeight="false" outlineLevel="0" collapsed="false">
      <c r="B12" s="67" t="s">
        <v>239</v>
      </c>
      <c r="C12" s="68" t="s">
        <v>240</v>
      </c>
      <c r="D12" s="69" t="n">
        <v>28</v>
      </c>
      <c r="E12" s="70" t="n">
        <v>175</v>
      </c>
      <c r="F12" s="70" t="n">
        <v>88</v>
      </c>
      <c r="G12" s="70" t="n">
        <v>15</v>
      </c>
      <c r="H12" s="71" t="n">
        <v>16.5</v>
      </c>
      <c r="I12" s="71" t="n">
        <v>11.2</v>
      </c>
      <c r="J12" s="71" t="n">
        <v>2</v>
      </c>
    </row>
    <row r="14" customFormat="false" ht="15" hidden="false" customHeight="false" outlineLevel="0" collapsed="false">
      <c r="B14" s="4" t="s">
        <v>241</v>
      </c>
      <c r="C14" s="4"/>
      <c r="D14" s="4"/>
      <c r="E14" s="4"/>
      <c r="F14" s="4"/>
      <c r="G14" s="4"/>
      <c r="H14" s="4"/>
      <c r="I14" s="4"/>
    </row>
    <row r="15" customFormat="false" ht="15" hidden="false" customHeight="false" outlineLevel="0" collapsed="false">
      <c r="B15" s="12" t="s">
        <v>242</v>
      </c>
      <c r="C15" s="12"/>
      <c r="D15" s="12"/>
      <c r="E15" s="12"/>
      <c r="F15" s="12"/>
      <c r="G15" s="12" t="s">
        <v>226</v>
      </c>
      <c r="H15" s="12" t="s">
        <v>227</v>
      </c>
      <c r="I15" s="12" t="s">
        <v>228</v>
      </c>
    </row>
    <row r="16" customFormat="false" ht="15" hidden="false" customHeight="false" outlineLevel="0" collapsed="false">
      <c r="B16" s="5" t="s">
        <v>243</v>
      </c>
      <c r="C16" s="72"/>
      <c r="D16" s="72"/>
      <c r="E16" s="72"/>
      <c r="F16" s="72"/>
      <c r="H16" s="73" t="n">
        <f aca="false">MEDIAN(H7:H12)</f>
        <v>25.45</v>
      </c>
      <c r="I16" s="73" t="n">
        <f aca="false">MEDIAN(I7:I12)</f>
        <v>19</v>
      </c>
      <c r="J16" s="73" t="n">
        <f aca="false">MEDIAN(J7:J12)</f>
        <v>8.05</v>
      </c>
    </row>
    <row r="17" customFormat="false" ht="15" hidden="false" customHeight="false" outlineLevel="0" collapsed="false">
      <c r="B17" s="5" t="s">
        <v>244</v>
      </c>
      <c r="C17" s="72"/>
      <c r="D17" s="72"/>
      <c r="E17" s="72"/>
      <c r="F17" s="72"/>
      <c r="H17" s="73" t="n">
        <f aca="false">AVERAGE(H7:H12)</f>
        <v>24.7166666666667</v>
      </c>
      <c r="I17" s="73" t="n">
        <f aca="false">AVERAGE(I7:I12)</f>
        <v>19.7666666666667</v>
      </c>
      <c r="J17" s="73" t="n">
        <f aca="false">AVERAGE(J7:J12)</f>
        <v>7.16666666666667</v>
      </c>
    </row>
    <row r="18" customFormat="false" ht="15" hidden="false" customHeight="false" outlineLevel="0" collapsed="false">
      <c r="B18" s="5" t="s">
        <v>245</v>
      </c>
      <c r="C18" s="72"/>
      <c r="D18" s="72"/>
      <c r="E18" s="72"/>
      <c r="F18" s="72"/>
      <c r="H18" s="73" t="n">
        <f aca="false">MIN(H7:H12)</f>
        <v>14.2</v>
      </c>
      <c r="I18" s="73" t="n">
        <f aca="false">MIN(I7:I12)</f>
        <v>9.8</v>
      </c>
      <c r="J18" s="73" t="n">
        <f aca="false">MIN(J7:J12)</f>
        <v>1.2</v>
      </c>
    </row>
    <row r="19" customFormat="false" ht="15" hidden="false" customHeight="false" outlineLevel="0" collapsed="false">
      <c r="B19" s="5" t="s">
        <v>246</v>
      </c>
      <c r="C19" s="72"/>
      <c r="D19" s="72"/>
      <c r="E19" s="72"/>
      <c r="F19" s="72"/>
      <c r="H19" s="73" t="n">
        <f aca="false">MAX(H7:H12)</f>
        <v>38.2</v>
      </c>
      <c r="I19" s="73" t="n">
        <f aca="false">MAX(I7:I12)</f>
        <v>33.8</v>
      </c>
      <c r="J19" s="73" t="n">
        <f aca="false">MAX(J7:J12)</f>
        <v>12.1</v>
      </c>
    </row>
    <row r="22" customFormat="false" ht="15" hidden="false" customHeight="false" outlineLevel="0" collapsed="false">
      <c r="B22" s="4" t="s">
        <v>247</v>
      </c>
      <c r="C22" s="4"/>
      <c r="D22" s="4"/>
      <c r="E22" s="4"/>
      <c r="F22" s="4"/>
      <c r="G22" s="4"/>
      <c r="H22" s="4"/>
      <c r="I22" s="4"/>
    </row>
    <row r="23" customFormat="false" ht="15" hidden="false" customHeight="false" outlineLevel="0" collapsed="false">
      <c r="B23" s="12" t="s">
        <v>248</v>
      </c>
      <c r="C23" s="12" t="s">
        <v>249</v>
      </c>
      <c r="D23" s="12" t="s">
        <v>250</v>
      </c>
      <c r="E23" s="12" t="s">
        <v>251</v>
      </c>
      <c r="F23" s="0" t="s">
        <v>252</v>
      </c>
    </row>
    <row r="24" customFormat="false" ht="15" hidden="false" customHeight="false" outlineLevel="0" collapsed="false">
      <c r="B24" s="5" t="s">
        <v>227</v>
      </c>
      <c r="C24" s="20" t="n">
        <v>144.7</v>
      </c>
      <c r="D24" s="65" t="n">
        <f aca="false">I16</f>
        <v>19</v>
      </c>
      <c r="E24" s="74" t="n">
        <f aca="false">C24*D24</f>
        <v>2749.3</v>
      </c>
      <c r="F24" s="66" t="n">
        <f aca="false">(E24*1000-'2. Historical Financials'!G30)/'3. Assumptions'!C28</f>
        <v>182.235612728504</v>
      </c>
    </row>
    <row r="25" customFormat="false" ht="15" hidden="false" customHeight="false" outlineLevel="0" collapsed="false">
      <c r="B25" s="5" t="s">
        <v>228</v>
      </c>
      <c r="C25" s="20" t="n">
        <v>416.2</v>
      </c>
      <c r="D25" s="65" t="n">
        <f aca="false">J16</f>
        <v>8.05</v>
      </c>
      <c r="E25" s="74" t="n">
        <f aca="false">C25*D25</f>
        <v>3350.41</v>
      </c>
      <c r="F25" s="66" t="n">
        <f aca="false">(E25*1000-'2. Historical Financials'!G30)/'3. Assumptions'!C28</f>
        <v>222.9336492891</v>
      </c>
    </row>
    <row r="26" customFormat="false" ht="15" hidden="false" customHeight="false" outlineLevel="0" collapsed="false">
      <c r="B26" s="5" t="s">
        <v>226</v>
      </c>
      <c r="C26" s="20" t="n">
        <v>112</v>
      </c>
      <c r="D26" s="65" t="n">
        <f aca="false">H16</f>
        <v>25.45</v>
      </c>
      <c r="E26" s="74" t="n">
        <f aca="false">C26*D26</f>
        <v>2850.4</v>
      </c>
      <c r="F26" s="66" t="n">
        <f aca="false">(E26*1000-'2. Historical Financials'!G30)/'3. Assumptions'!C28</f>
        <v>189.080568720379</v>
      </c>
    </row>
    <row r="28" customFormat="false" ht="15" hidden="false" customHeight="false" outlineLevel="0" collapsed="false">
      <c r="B28" s="21" t="s">
        <v>253</v>
      </c>
    </row>
  </sheetData>
  <mergeCells count="9">
    <mergeCell ref="B2:J2"/>
    <mergeCell ref="B3:J3"/>
    <mergeCell ref="B5:I5"/>
    <mergeCell ref="B14:I14"/>
    <mergeCell ref="C16:F16"/>
    <mergeCell ref="C17:F17"/>
    <mergeCell ref="C18:F18"/>
    <mergeCell ref="C19:F19"/>
    <mergeCell ref="B22:I2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2026-10-02T01:40:53Z</dcterms:created>
  <dc:creator>openpyxl</dc:creator>
  <dc:description/>
  <dc:language>en-US</dc:language>
  <cp:lastModifiedBy/>
  <dcterms:modified xsi:type="dcterms:W3CDTF">2026-10-02T01:40:53Z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